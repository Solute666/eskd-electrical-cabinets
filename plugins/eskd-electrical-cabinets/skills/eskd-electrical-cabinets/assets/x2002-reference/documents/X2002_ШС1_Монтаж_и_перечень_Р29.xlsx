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0412c459d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единения" sheetId="1" r:id="R759bb646dcc34f56"/>
    <x:sheet xmlns:r="http://schemas.openxmlformats.org/officeDocument/2006/relationships" name="Клеммы" sheetId="2" r:id="R8b193ecaa917413f"/>
    <x:sheet xmlns:r="http://schemas.openxmlformats.org/officeDocument/2006/relationships" name="Перечень" sheetId="3" r:id="R7943ee5f69fe451f"/>
    <x:sheet xmlns:r="http://schemas.openxmlformats.org/officeDocument/2006/relationships" name="Выводы ПЛК" sheetId="4" r:id="Rfeea5b197552427c"/>
    <x:sheet xmlns:r="http://schemas.openxmlformats.org/officeDocument/2006/relationships" name="Указания" sheetId="5" r:id="Rf0c75790a3c447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sz val="11"/>
      <x:color rgb="FF000000"/>
      <x:name val="Calibri"/>
    </x:font>
    <x:font>
      <x:b/>
      <x:sz val="14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c67695c534d28" /><Relationship Type="http://schemas.openxmlformats.org/officeDocument/2006/relationships/theme" Target="/xl/theme/theme1.xml" Id="Ra34f9a6472064346" /><Relationship Type="http://schemas.openxmlformats.org/officeDocument/2006/relationships/sharedStrings" Target="/xl/sharedStrings.xml" Id="Rd005e3f05aff4b92" /><Relationship Type="http://schemas.openxmlformats.org/officeDocument/2006/relationships/worksheet" Target="/xl/worksheets/sheet1.xml" Id="R759bb646dcc34f56" /><Relationship Type="http://schemas.openxmlformats.org/officeDocument/2006/relationships/worksheet" Target="/xl/worksheets/sheet2.xml" Id="R8b193ecaa917413f" /><Relationship Type="http://schemas.openxmlformats.org/officeDocument/2006/relationships/worksheet" Target="/xl/worksheets/sheet3.xml" Id="R7943ee5f69fe451f" /><Relationship Type="http://schemas.openxmlformats.org/officeDocument/2006/relationships/worksheet" Target="/xl/worksheets/sheet4.xml" Id="Rfeea5b197552427c" /><Relationship Type="http://schemas.openxmlformats.org/officeDocument/2006/relationships/worksheet" Target="/xl/worksheets/sheet5.xml" Id="Rf0c75790a3c447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9" hidden="0" customWidth="1"/>
    <x:col min="3" max="3" width="28" hidden="0" customWidth="1"/>
    <x:col min="4" max="4" width="28" hidden="0" customWidth="1"/>
    <x:col min="5" max="5" width="14" hidden="0" customWidth="1"/>
    <x:col min="6" max="6" width="18" hidden="0" customWidth="1"/>
    <x:col min="7" max="7" width="17" hidden="0" customWidth="1"/>
    <x:col min="8" max="8" width="25" hidden="0" customWidth="1"/>
    <x:col min="9" max="9" width="65" hidden="0" customWidth="1"/>
    <x:col min="10" max="10" width="13" hidden="0" customWidth="1"/>
  </x:cols>
  <x:sheetData>
    <x:row r="1" ht="28" customHeight="1">
      <x:c r="A1" s="5" t="str">
        <x:v>X2002 — монтажные соединения. Р27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4" customHeight="1">
      <x:c r="A2" s="4" t="str">
        <x:v>Э3 Р27 / монтажный комплект Р29. Спецификация от 12.10.2026. № строки не является маркировкой провода. Сечение «по кабелю» для W7a — по фактически имеющемуся кабелю. Длина — после трассировки.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31" hidden="0" customHeight="1">
      <x:c r="A4" s="7" t="str">
        <x:v>№</x:v>
      </x:c>
      <x:c r="B4" s="7" t="str">
        <x:v>Цепь</x:v>
      </x:c>
      <x:c r="C4" s="7" t="str">
        <x:v>Откуда: заводской вывод</x:v>
      </x:c>
      <x:c r="D4" s="7" t="str">
        <x:v>Куда: заводской вывод</x:v>
      </x:c>
      <x:c r="E4" s="7" t="str">
        <x:v>Сечение</x:v>
      </x:c>
      <x:c r="F4" s="7" t="str">
        <x:v>Цвет</x:v>
      </x:c>
      <x:c r="G4" s="7" t="str">
        <x:v>Шкаф</x:v>
      </x:c>
      <x:c r="H4" s="7" t="str">
        <x:v>Исполнение</x:v>
      </x:c>
      <x:c r="I4" s="7" t="str">
        <x:v>Примечание</x:v>
      </x:c>
      <x:c r="J4" s="7" t="str">
        <x:v>Длина факт., м</x:v>
      </x:c>
    </x:row>
    <x:row r="5" ht="31" hidden="0" customHeight="1">
      <x:c r="A5" s="8" t="n">
        <x:v>1</x:v>
      </x:c>
      <x:c r="B5" s="8" t="str">
        <x:v>2</x:v>
      </x:c>
      <x:c r="C5" s="8" t="str">
        <x:v>A7:2 (−)</x:v>
      </x:c>
      <x:c r="D5" s="8" t="str">
        <x:v>HL1:-</x:v>
      </x:c>
      <x:c r="E5" s="8" t="str">
        <x:v>0,75 мм²</x:v>
      </x:c>
      <x:c r="F5" s="8" t="str">
        <x:v>чёрный</x:v>
      </x:c>
      <x:c r="G5" s="8" t="str">
        <x:v>ШО1</x:v>
      </x:c>
      <x:c r="H5" s="8" t="str">
        <x:v>Провод</x:v>
      </x:c>
      <x:c r="I5" s="8" t="str"/>
      <x:c r="J5" s="9"/>
    </x:row>
    <x:row r="6" ht="31" hidden="0" customHeight="1">
      <x:c r="A6" s="8" t="n">
        <x:v>2</x:v>
      </x:c>
      <x:c r="B6" s="8" t="str">
        <x:v>2</x:v>
      </x:c>
      <x:c r="C6" s="8" t="str">
        <x:v>HL1:-</x:v>
      </x:c>
      <x:c r="D6" s="8" t="str">
        <x:v>HL2:-</x:v>
      </x:c>
      <x:c r="E6" s="8" t="str">
        <x:v>0,75 мм²</x:v>
      </x:c>
      <x:c r="F6" s="8" t="str">
        <x:v>чёрный</x:v>
      </x:c>
      <x:c r="G6" s="8" t="str">
        <x:v>ШО1</x:v>
      </x:c>
      <x:c r="H6" s="8" t="str">
        <x:v>Провод</x:v>
      </x:c>
      <x:c r="I6" s="8" t="str"/>
      <x:c r="J6" s="9"/>
    </x:row>
    <x:row r="7" ht="31" hidden="0" customHeight="1">
      <x:c r="A7" s="8" t="n">
        <x:v>3</x:v>
      </x:c>
      <x:c r="B7" s="8" t="str">
        <x:v>2</x:v>
      </x:c>
      <x:c r="C7" s="8" t="str">
        <x:v>ШО1.XT8:2</x:v>
      </x:c>
      <x:c r="D7" s="8" t="str">
        <x:v>A7:2 (−)</x:v>
      </x:c>
      <x:c r="E7" s="8" t="str">
        <x:v>0,75 мм²</x:v>
      </x:c>
      <x:c r="F7" s="8" t="str">
        <x:v>чёрный</x:v>
      </x:c>
      <x:c r="G7" s="8" t="str">
        <x:v>ШО1</x:v>
      </x:c>
      <x:c r="H7" s="8" t="str">
        <x:v>Провод</x:v>
      </x:c>
      <x:c r="I7" s="8" t="str"/>
      <x:c r="J7" s="9"/>
    </x:row>
    <x:row r="8" ht="31" hidden="0" customHeight="1">
      <x:c r="A8" s="8" t="n">
        <x:v>4</x:v>
      </x:c>
      <x:c r="B8" s="8" t="str">
        <x:v>6</x:v>
      </x:c>
      <x:c r="C8" s="8" t="str">
        <x:v>ШО1.XT9:1</x:v>
      </x:c>
      <x:c r="D8" s="8" t="str">
        <x:v>SB0.1:1</x:v>
      </x:c>
      <x:c r="E8" s="8" t="str">
        <x:v>0,75 мм²</x:v>
      </x:c>
      <x:c r="F8" s="8" t="str">
        <x:v>красный</x:v>
      </x:c>
      <x:c r="G8" s="8" t="str">
        <x:v>ШО1</x:v>
      </x:c>
      <x:c r="H8" s="8" t="str">
        <x:v>Провод</x:v>
      </x:c>
      <x:c r="I8" s="8" t="str"/>
      <x:c r="J8" s="9"/>
    </x:row>
    <x:row r="9" ht="31" hidden="0" customHeight="1">
      <x:c r="A9" s="8" t="n">
        <x:v>5</x:v>
      </x:c>
      <x:c r="B9" s="8" t="str">
        <x:v>8</x:v>
      </x:c>
      <x:c r="C9" s="8" t="str">
        <x:v>A7:3 (+)</x:v>
      </x:c>
      <x:c r="D9" s="8" t="str">
        <x:v>HL1:+</x:v>
      </x:c>
      <x:c r="E9" s="8" t="str">
        <x:v>0,75 мм²</x:v>
      </x:c>
      <x:c r="F9" s="8" t="str">
        <x:v>красный</x:v>
      </x:c>
      <x:c r="G9" s="8" t="str">
        <x:v>ШО1</x:v>
      </x:c>
      <x:c r="H9" s="8" t="str">
        <x:v>Провод</x:v>
      </x:c>
      <x:c r="I9" s="8" t="str"/>
      <x:c r="J9" s="9"/>
    </x:row>
    <x:row r="10" ht="31" hidden="0" customHeight="1">
      <x:c r="A10" s="8" t="n">
        <x:v>6</x:v>
      </x:c>
      <x:c r="B10" s="8" t="str">
        <x:v>8</x:v>
      </x:c>
      <x:c r="C10" s="8" t="str">
        <x:v>HL1:+</x:v>
      </x:c>
      <x:c r="D10" s="8" t="str">
        <x:v>SB1:3</x:v>
      </x:c>
      <x:c r="E10" s="8" t="str">
        <x:v>0,75 мм²</x:v>
      </x:c>
      <x:c r="F10" s="8" t="str">
        <x:v>красный</x:v>
      </x:c>
      <x:c r="G10" s="8" t="str">
        <x:v>ШО1</x:v>
      </x:c>
      <x:c r="H10" s="8" t="str">
        <x:v>Провод</x:v>
      </x:c>
      <x:c r="I10" s="8" t="str"/>
      <x:c r="J10" s="9"/>
    </x:row>
    <x:row r="11" ht="31" hidden="0" customHeight="1">
      <x:c r="A11" s="8" t="n">
        <x:v>7</x:v>
      </x:c>
      <x:c r="B11" s="8" t="str">
        <x:v>8</x:v>
      </x:c>
      <x:c r="C11" s="8" t="str">
        <x:v>SB1:3</x:v>
      </x:c>
      <x:c r="D11" s="8" t="str">
        <x:v>SB2:1</x:v>
      </x:c>
      <x:c r="E11" s="8" t="str">
        <x:v>0,75 мм²</x:v>
      </x:c>
      <x:c r="F11" s="8" t="str">
        <x:v>красный</x:v>
      </x:c>
      <x:c r="G11" s="8" t="str">
        <x:v>ШО1</x:v>
      </x:c>
      <x:c r="H11" s="8" t="str">
        <x:v>Провод</x:v>
      </x:c>
      <x:c r="I11" s="8" t="str"/>
      <x:c r="J11" s="9"/>
    </x:row>
    <x:row r="12" ht="31" hidden="0" customHeight="1">
      <x:c r="A12" s="8" t="n">
        <x:v>8</x:v>
      </x:c>
      <x:c r="B12" s="8" t="str">
        <x:v>8</x:v>
      </x:c>
      <x:c r="C12" s="8" t="str">
        <x:v>SB2:1</x:v>
      </x:c>
      <x:c r="D12" s="8" t="str">
        <x:v>SB3:3</x:v>
      </x:c>
      <x:c r="E12" s="8" t="str">
        <x:v>0,75 мм²</x:v>
      </x:c>
      <x:c r="F12" s="8" t="str">
        <x:v>красный</x:v>
      </x:c>
      <x:c r="G12" s="8" t="str">
        <x:v>ШО1</x:v>
      </x:c>
      <x:c r="H12" s="8" t="str">
        <x:v>Провод</x:v>
      </x:c>
      <x:c r="I12" s="8" t="str"/>
      <x:c r="J12" s="9"/>
    </x:row>
    <x:row r="13" ht="31" hidden="0" customHeight="1">
      <x:c r="A13" s="8" t="n">
        <x:v>9</x:v>
      </x:c>
      <x:c r="B13" s="8" t="str">
        <x:v>8</x:v>
      </x:c>
      <x:c r="C13" s="8" t="str">
        <x:v>SB3:3</x:v>
      </x:c>
      <x:c r="D13" s="8" t="str">
        <x:v>SB4:3</x:v>
      </x:c>
      <x:c r="E13" s="8" t="str">
        <x:v>0,75 мм²</x:v>
      </x:c>
      <x:c r="F13" s="8" t="str">
        <x:v>красный</x:v>
      </x:c>
      <x:c r="G13" s="8" t="str">
        <x:v>ШО1</x:v>
      </x:c>
      <x:c r="H13" s="8" t="str">
        <x:v>Провод</x:v>
      </x:c>
      <x:c r="I13" s="8" t="str"/>
      <x:c r="J13" s="9"/>
    </x:row>
    <x:row r="14" ht="31" hidden="0" customHeight="1">
      <x:c r="A14" s="8" t="n">
        <x:v>10</x:v>
      </x:c>
      <x:c r="B14" s="8" t="str">
        <x:v>8</x:v>
      </x:c>
      <x:c r="C14" s="8" t="str">
        <x:v>SB4:3</x:v>
      </x:c>
      <x:c r="D14" s="8" t="str">
        <x:v>SB5:3</x:v>
      </x:c>
      <x:c r="E14" s="8" t="str">
        <x:v>0,75 мм²</x:v>
      </x:c>
      <x:c r="F14" s="8" t="str">
        <x:v>красный</x:v>
      </x:c>
      <x:c r="G14" s="8" t="str">
        <x:v>ШО1</x:v>
      </x:c>
      <x:c r="H14" s="8" t="str">
        <x:v>Провод</x:v>
      </x:c>
      <x:c r="I14" s="8" t="str"/>
      <x:c r="J14" s="9"/>
    </x:row>
    <x:row r="15" ht="31" hidden="0" customHeight="1">
      <x:c r="A15" s="8" t="n">
        <x:v>11</x:v>
      </x:c>
      <x:c r="B15" s="8" t="str">
        <x:v>8</x:v>
      </x:c>
      <x:c r="C15" s="8" t="str">
        <x:v>ШО1.XT8:1</x:v>
      </x:c>
      <x:c r="D15" s="8" t="str">
        <x:v>A7:3 (+)</x:v>
      </x:c>
      <x:c r="E15" s="8" t="str">
        <x:v>0,75 мм²</x:v>
      </x:c>
      <x:c r="F15" s="8" t="str">
        <x:v>красный</x:v>
      </x:c>
      <x:c r="G15" s="8" t="str">
        <x:v>ШО1</x:v>
      </x:c>
      <x:c r="H15" s="8" t="str">
        <x:v>Провод</x:v>
      </x:c>
      <x:c r="I15" s="8" t="str"/>
      <x:c r="J15" s="9"/>
    </x:row>
    <x:row r="16" ht="31" hidden="0" customHeight="1">
      <x:c r="A16" s="8" t="n">
        <x:v>12</x:v>
      </x:c>
      <x:c r="B16" s="8" t="str">
        <x:v>13</x:v>
      </x:c>
      <x:c r="C16" s="8" t="str">
        <x:v>ШО1.XT9:2</x:v>
      </x:c>
      <x:c r="D16" s="8" t="str">
        <x:v>SB0.1:2</x:v>
      </x:c>
      <x:c r="E16" s="8" t="str">
        <x:v>0,75 мм²</x:v>
      </x:c>
      <x:c r="F16" s="8" t="str">
        <x:v>красный</x:v>
      </x:c>
      <x:c r="G16" s="8" t="str">
        <x:v>ШО1</x:v>
      </x:c>
      <x:c r="H16" s="8" t="str">
        <x:v>Провод</x:v>
      </x:c>
      <x:c r="I16" s="8" t="str"/>
      <x:c r="J16" s="9"/>
    </x:row>
    <x:row r="17" ht="31" hidden="0" customHeight="1">
      <x:c r="A17" s="8" t="n">
        <x:v>13</x:v>
      </x:c>
      <x:c r="B17" s="8" t="str">
        <x:v>20</x:v>
      </x:c>
      <x:c r="C17" s="8" t="str">
        <x:v>ШО1.XT9:3</x:v>
      </x:c>
      <x:c r="D17" s="8" t="str">
        <x:v>SB1:4</x:v>
      </x:c>
      <x:c r="E17" s="8" t="str">
        <x:v>0,75 мм²</x:v>
      </x:c>
      <x:c r="F17" s="8" t="str">
        <x:v>красный</x:v>
      </x:c>
      <x:c r="G17" s="8" t="str">
        <x:v>ШО1</x:v>
      </x:c>
      <x:c r="H17" s="8" t="str">
        <x:v>Провод</x:v>
      </x:c>
      <x:c r="I17" s="8" t="str"/>
      <x:c r="J17" s="9"/>
    </x:row>
    <x:row r="18" ht="31" hidden="0" customHeight="1">
      <x:c r="A18" s="8" t="n">
        <x:v>14</x:v>
      </x:c>
      <x:c r="B18" s="8" t="str">
        <x:v>21</x:v>
      </x:c>
      <x:c r="C18" s="8" t="str">
        <x:v>ШО1.XT9:4</x:v>
      </x:c>
      <x:c r="D18" s="8" t="str">
        <x:v>SB2:2</x:v>
      </x:c>
      <x:c r="E18" s="8" t="str">
        <x:v>0,75 мм²</x:v>
      </x:c>
      <x:c r="F18" s="8" t="str">
        <x:v>красный</x:v>
      </x:c>
      <x:c r="G18" s="8" t="str">
        <x:v>ШО1</x:v>
      </x:c>
      <x:c r="H18" s="8" t="str">
        <x:v>Провод</x:v>
      </x:c>
      <x:c r="I18" s="8" t="str"/>
      <x:c r="J18" s="9"/>
    </x:row>
    <x:row r="19" ht="31" hidden="0" customHeight="1">
      <x:c r="A19" s="8" t="n">
        <x:v>15</x:v>
      </x:c>
      <x:c r="B19" s="8" t="str">
        <x:v>22</x:v>
      </x:c>
      <x:c r="C19" s="8" t="str">
        <x:v>ШО1.XT9:5</x:v>
      </x:c>
      <x:c r="D19" s="8" t="str">
        <x:v>SB3:4</x:v>
      </x:c>
      <x:c r="E19" s="8" t="str">
        <x:v>0,75 мм²</x:v>
      </x:c>
      <x:c r="F19" s="8" t="str">
        <x:v>красный</x:v>
      </x:c>
      <x:c r="G19" s="8" t="str">
        <x:v>ШО1</x:v>
      </x:c>
      <x:c r="H19" s="8" t="str">
        <x:v>Провод</x:v>
      </x:c>
      <x:c r="I19" s="8" t="str"/>
      <x:c r="J19" s="9"/>
    </x:row>
    <x:row r="20" ht="31" hidden="0" customHeight="1">
      <x:c r="A20" s="8" t="n">
        <x:v>16</x:v>
      </x:c>
      <x:c r="B20" s="8" t="str">
        <x:v>23</x:v>
      </x:c>
      <x:c r="C20" s="8" t="str">
        <x:v>ШО1.XT9:6</x:v>
      </x:c>
      <x:c r="D20" s="8" t="str">
        <x:v>SB4:4</x:v>
      </x:c>
      <x:c r="E20" s="8" t="str">
        <x:v>0,75 мм²</x:v>
      </x:c>
      <x:c r="F20" s="8" t="str">
        <x:v>красный</x:v>
      </x:c>
      <x:c r="G20" s="8" t="str">
        <x:v>ШО1</x:v>
      </x:c>
      <x:c r="H20" s="8" t="str">
        <x:v>Провод</x:v>
      </x:c>
      <x:c r="I20" s="8" t="str"/>
      <x:c r="J20" s="9"/>
    </x:row>
    <x:row r="21" ht="31" hidden="0" customHeight="1">
      <x:c r="A21" s="8" t="n">
        <x:v>17</x:v>
      </x:c>
      <x:c r="B21" s="8" t="str">
        <x:v>24</x:v>
      </x:c>
      <x:c r="C21" s="8" t="str">
        <x:v>ШО1.XT9:7</x:v>
      </x:c>
      <x:c r="D21" s="8" t="str">
        <x:v>SB5:4</x:v>
      </x:c>
      <x:c r="E21" s="8" t="str">
        <x:v>0,75 мм²</x:v>
      </x:c>
      <x:c r="F21" s="8" t="str">
        <x:v>красный</x:v>
      </x:c>
      <x:c r="G21" s="8" t="str">
        <x:v>ШО1</x:v>
      </x:c>
      <x:c r="H21" s="8" t="str">
        <x:v>Провод</x:v>
      </x:c>
      <x:c r="I21" s="8" t="str"/>
      <x:c r="J21" s="9"/>
    </x:row>
    <x:row r="22" ht="31" hidden="0" customHeight="1">
      <x:c r="A22" s="8" t="n">
        <x:v>18</x:v>
      </x:c>
      <x:c r="B22" s="8" t="str">
        <x:v>107</x:v>
      </x:c>
      <x:c r="C22" s="8" t="str">
        <x:v>ШО1.XT9:8</x:v>
      </x:c>
      <x:c r="D22" s="8" t="str">
        <x:v>HL2:+</x:v>
      </x:c>
      <x:c r="E22" s="8" t="str">
        <x:v>0,75 мм²</x:v>
      </x:c>
      <x:c r="F22" s="8" t="str">
        <x:v>красный</x:v>
      </x:c>
      <x:c r="G22" s="8" t="str">
        <x:v>ШО1</x:v>
      </x:c>
      <x:c r="H22" s="8" t="str">
        <x:v>Провод</x:v>
      </x:c>
      <x:c r="I22" s="8" t="str"/>
      <x:c r="J22" s="9"/>
    </x:row>
    <x:row r="23" ht="31" hidden="0" customHeight="1">
      <x:c r="A23" s="8" t="n">
        <x:v>19</x:v>
      </x:c>
      <x:c r="B23" s="8" t="str">
        <x:v>PE</x:v>
      </x:c>
      <x:c r="C23" s="8" t="str">
        <x:v>ШО1.PE:02</x:v>
      </x:c>
      <x:c r="D23" s="8" t="str">
        <x:v>ШО1:корпус</x:v>
      </x:c>
      <x:c r="E23" s="8" t="str">
        <x:v>6 мм²</x:v>
      </x:c>
      <x:c r="F23" s="8" t="str">
        <x:v>ж/з</x:v>
      </x:c>
      <x:c r="G23" s="8" t="str">
        <x:v>ШО1</x:v>
      </x:c>
      <x:c r="H23" s="8" t="str">
        <x:v>Провод</x:v>
      </x:c>
      <x:c r="I23" s="8" t="str"/>
      <x:c r="J23" s="9"/>
    </x:row>
    <x:row r="24" ht="31" hidden="0" customHeight="1">
      <x:c r="A24" s="8" t="n">
        <x:v>20</x:v>
      </x:c>
      <x:c r="B24" s="8" t="str">
        <x:v>PE</x:v>
      </x:c>
      <x:c r="C24" s="8" t="str">
        <x:v>ШО1.PE:03</x:v>
      </x:c>
      <x:c r="D24" s="8" t="str">
        <x:v>ШО1:плита</x:v>
      </x:c>
      <x:c r="E24" s="8" t="str">
        <x:v>6 мм²</x:v>
      </x:c>
      <x:c r="F24" s="8" t="str">
        <x:v>ж/з</x:v>
      </x:c>
      <x:c r="G24" s="8" t="str">
        <x:v>ШО1</x:v>
      </x:c>
      <x:c r="H24" s="8" t="str">
        <x:v>Провод</x:v>
      </x:c>
      <x:c r="I24" s="8" t="str"/>
      <x:c r="J24" s="9"/>
    </x:row>
    <x:row r="25" ht="31" hidden="0" customHeight="1">
      <x:c r="A25" s="8" t="n">
        <x:v>21</x:v>
      </x:c>
      <x:c r="B25" s="8" t="str">
        <x:v>PE</x:v>
      </x:c>
      <x:c r="C25" s="8" t="str">
        <x:v>ШО1.PE:04</x:v>
      </x:c>
      <x:c r="D25" s="8" t="str">
        <x:v>ШО1:дверь</x:v>
      </x:c>
      <x:c r="E25" s="8" t="str">
        <x:v>6 мм²</x:v>
      </x:c>
      <x:c r="F25" s="8" t="str">
        <x:v>ж/з</x:v>
      </x:c>
      <x:c r="G25" s="8" t="str">
        <x:v>ШО1</x:v>
      </x:c>
      <x:c r="H25" s="8" t="str">
        <x:v>Провод</x:v>
      </x:c>
      <x:c r="I25" s="8" t="str"/>
      <x:c r="J25" s="9"/>
    </x:row>
    <x:row r="26" ht="31" hidden="0" customHeight="1">
      <x:c r="A26" s="8" t="n">
        <x:v>22</x:v>
      </x:c>
      <x:c r="B26" s="8" t="str">
        <x:v>PE</x:v>
      </x:c>
      <x:c r="C26" s="8" t="str">
        <x:v>ШО1.PE:05</x:v>
      </x:c>
      <x:c r="D26" s="8" t="str">
        <x:v>ШО1.XPE1:1a</x:v>
      </x:c>
      <x:c r="E26" s="8" t="str">
        <x:v>2,5 мм²</x:v>
      </x:c>
      <x:c r="F26" s="8" t="str">
        <x:v>ж/з</x:v>
      </x:c>
      <x:c r="G26" s="8" t="str">
        <x:v>ШО1</x:v>
      </x:c>
      <x:c r="H26" s="8" t="str">
        <x:v>Провод</x:v>
      </x:c>
      <x:c r="I26" s="8" t="str">
        <x:v>DKC T1615: зажим от 2,5 мм²</x:v>
      </x:c>
      <x:c r="J26" s="9"/>
    </x:row>
    <x:row r="27" ht="31" hidden="0" customHeight="1">
      <x:c r="A27" s="8" t="n">
        <x:v>23</x:v>
      </x:c>
      <x:c r="B27" s="8" t="str">
        <x:v>PE</x:v>
      </x:c>
      <x:c r="C27" s="8" t="str">
        <x:v>ШО1.XPE1:1b</x:v>
      </x:c>
      <x:c r="D27" s="8" t="str">
        <x:v>A7:1 (FG)</x:v>
      </x:c>
      <x:c r="E27" s="8" t="str">
        <x:v>2,5 мм²</x:v>
      </x:c>
      <x:c r="F27" s="8" t="str">
        <x:v>ж/з</x:v>
      </x:c>
      <x:c r="G27" s="8" t="str">
        <x:v>ШО1</x:v>
      </x:c>
      <x:c r="H27" s="8" t="str">
        <x:v>Провод</x:v>
      </x:c>
      <x:c r="I27" s="8" t="str">
        <x:v>Через MTU-2.5PE</x:v>
      </x:c>
      <x:c r="J27" s="9"/>
    </x:row>
    <x:row r="28" ht="31" hidden="0" customHeight="1">
      <x:c r="A28" s="8" t="n">
        <x:v>24</x:v>
      </x:c>
      <x:c r="B28" s="8" t="str">
        <x:v>PE</x:v>
      </x:c>
      <x:c r="C28" s="8" t="str">
        <x:v>ШО1.XT8:PE</x:v>
      </x:c>
      <x:c r="D28" s="8" t="str">
        <x:v>ШО1.PE:01</x:v>
      </x:c>
      <x:c r="E28" s="8" t="str">
        <x:v>2,5 мм²</x:v>
      </x:c>
      <x:c r="F28" s="8" t="str">
        <x:v>ж/з</x:v>
      </x:c>
      <x:c r="G28" s="8" t="str">
        <x:v>ШО1</x:v>
      </x:c>
      <x:c r="H28" s="8" t="str">
        <x:v>Провод</x:v>
      </x:c>
      <x:c r="I28" s="8" t="str">
        <x:v>От парной клеммы PE к шине PE; 2,5 мм²</x:v>
      </x:c>
      <x:c r="J28" s="9"/>
    </x:row>
    <x:row r="29" ht="31" hidden="0" customHeight="1">
      <x:c r="A29" s="8" t="n">
        <x:v>25</x:v>
      </x:c>
      <x:c r="B29" s="8" t="str">
        <x:v>W5</x:v>
      </x:c>
      <x:c r="C29" s="8" t="str">
        <x:v>ШО1.XJ1:OUT</x:v>
      </x:c>
      <x:c r="D29" s="8" t="str">
        <x:v>A7:ETH</x:v>
      </x:c>
      <x:c r="E29" s="8" t="str">
        <x:v>—</x:v>
      </x:c>
      <x:c r="F29" s="8" t="str">
        <x:v>—</x:v>
      </x:c>
      <x:c r="G29" s="8" t="str">
        <x:v>ШО1</x:v>
      </x:c>
      <x:c r="H29" s="8" t="str">
        <x:v>Ethernet</x:v>
      </x:c>
      <x:c r="I29" s="8" t="str">
        <x:v>RJ45, все 8 контактов 1:1; Cat.5e</x:v>
      </x:c>
      <x:c r="J29" s="9"/>
    </x:row>
    <x:row r="30" ht="31" hidden="0" customHeight="1">
      <x:c r="A30" s="8" t="n">
        <x:v>26</x:v>
      </x:c>
      <x:c r="B30" s="8" t="str">
        <x:v>1</x:v>
      </x:c>
      <x:c r="C30" s="8" t="str">
        <x:v>FU1:1</x:v>
      </x:c>
      <x:c r="D30" s="8" t="str">
        <x:v>FU2:1</x:v>
      </x:c>
      <x:c r="E30" s="8" t="str">
        <x:v>2,5 мм²</x:v>
      </x:c>
      <x:c r="F30" s="8" t="str">
        <x:v>красный</x:v>
      </x:c>
      <x:c r="G30" s="8" t="str">
        <x:v>ШС1</x:v>
      </x:c>
      <x:c r="H30" s="8" t="str">
        <x:v>Провод</x:v>
      </x:c>
      <x:c r="I30" s="8" t="str"/>
      <x:c r="J30" s="9"/>
    </x:row>
    <x:row r="31" ht="31" hidden="0" customHeight="1">
      <x:c r="A31" s="8" t="n">
        <x:v>27</x:v>
      </x:c>
      <x:c r="B31" s="8" t="str">
        <x:v>1</x:v>
      </x:c>
      <x:c r="C31" s="8" t="str">
        <x:v>FU2:1</x:v>
      </x:c>
      <x:c r="D31" s="8" t="str">
        <x:v>FU3:1</x:v>
      </x:c>
      <x:c r="E31" s="8" t="str">
        <x:v>2,5 мм²</x:v>
      </x:c>
      <x:c r="F31" s="8" t="str">
        <x:v>красный</x:v>
      </x:c>
      <x:c r="G31" s="8" t="str">
        <x:v>ШС1</x:v>
      </x:c>
      <x:c r="H31" s="8" t="str">
        <x:v>Провод</x:v>
      </x:c>
      <x:c r="I31" s="8" t="str"/>
      <x:c r="J31" s="9"/>
    </x:row>
    <x:row r="32" ht="31" hidden="0" customHeight="1">
      <x:c r="A32" s="8" t="n">
        <x:v>28</x:v>
      </x:c>
      <x:c r="B32" s="8" t="str">
        <x:v>1</x:v>
      </x:c>
      <x:c r="C32" s="8" t="str">
        <x:v>FU3:1</x:v>
      </x:c>
      <x:c r="D32" s="8" t="str">
        <x:v>FU4:1</x:v>
      </x:c>
      <x:c r="E32" s="8" t="str">
        <x:v>2,5 мм²</x:v>
      </x:c>
      <x:c r="F32" s="8" t="str">
        <x:v>красный</x:v>
      </x:c>
      <x:c r="G32" s="8" t="str">
        <x:v>ШС1</x:v>
      </x:c>
      <x:c r="H32" s="8" t="str">
        <x:v>Провод</x:v>
      </x:c>
      <x:c r="I32" s="8" t="str"/>
      <x:c r="J32" s="9"/>
    </x:row>
    <x:row r="33" ht="31" hidden="0" customHeight="1">
      <x:c r="A33" s="8" t="n">
        <x:v>29</x:v>
      </x:c>
      <x:c r="B33" s="8" t="str">
        <x:v>1</x:v>
      </x:c>
      <x:c r="C33" s="8" t="str">
        <x:v>FU4:1</x:v>
      </x:c>
      <x:c r="D33" s="8" t="str">
        <x:v>FU5:1</x:v>
      </x:c>
      <x:c r="E33" s="8" t="str">
        <x:v>2,5 мм²</x:v>
      </x:c>
      <x:c r="F33" s="8" t="str">
        <x:v>красный</x:v>
      </x:c>
      <x:c r="G33" s="8" t="str">
        <x:v>ШС1</x:v>
      </x:c>
      <x:c r="H33" s="8" t="str">
        <x:v>Провод</x:v>
      </x:c>
      <x:c r="I33" s="8" t="str"/>
      <x:c r="J33" s="9"/>
    </x:row>
    <x:row r="34" ht="31" hidden="0" customHeight="1">
      <x:c r="A34" s="8" t="n">
        <x:v>30</x:v>
      </x:c>
      <x:c r="B34" s="8" t="str">
        <x:v>1</x:v>
      </x:c>
      <x:c r="C34" s="8" t="str">
        <x:v>FU5:1</x:v>
      </x:c>
      <x:c r="D34" s="8" t="str">
        <x:v>FU6:1</x:v>
      </x:c>
      <x:c r="E34" s="8" t="str">
        <x:v>2,5 мм²</x:v>
      </x:c>
      <x:c r="F34" s="8" t="str">
        <x:v>красный</x:v>
      </x:c>
      <x:c r="G34" s="8" t="str">
        <x:v>ШС1</x:v>
      </x:c>
      <x:c r="H34" s="8" t="str">
        <x:v>Провод</x:v>
      </x:c>
      <x:c r="I34" s="8" t="str"/>
      <x:c r="J34" s="9"/>
    </x:row>
    <x:row r="35" ht="31" hidden="0" customHeight="1">
      <x:c r="A35" s="8" t="n">
        <x:v>31</x:v>
      </x:c>
      <x:c r="B35" s="8" t="str">
        <x:v>1</x:v>
      </x:c>
      <x:c r="C35" s="8" t="str">
        <x:v>G2:+V</x:v>
      </x:c>
      <x:c r="D35" s="8" t="str">
        <x:v>FU1:1</x:v>
      </x:c>
      <x:c r="E35" s="8" t="str">
        <x:v>2,5 мм²</x:v>
      </x:c>
      <x:c r="F35" s="8" t="str">
        <x:v>красный</x:v>
      </x:c>
      <x:c r="G35" s="8" t="str">
        <x:v>ШС1</x:v>
      </x:c>
      <x:c r="H35" s="8" t="str">
        <x:v>Провод</x:v>
      </x:c>
      <x:c r="I35" s="8" t="str"/>
      <x:c r="J35" s="9"/>
    </x:row>
    <x:row r="36" ht="31" hidden="0" customHeight="1">
      <x:c r="A36" s="8" t="n">
        <x:v>32</x:v>
      </x:c>
      <x:c r="B36" s="8" t="str">
        <x:v>2</x:v>
      </x:c>
      <x:c r="C36" s="8" t="str">
        <x:v>A1:C0 [Л06]</x:v>
      </x:c>
      <x:c r="D36" s="8" t="str">
        <x:v>A1:C0 [П06]</x:v>
      </x:c>
      <x:c r="E36" s="8" t="str">
        <x:v>0,75 мм²</x:v>
      </x:c>
      <x:c r="F36" s="8" t="str">
        <x:v>чёрный</x:v>
      </x:c>
      <x:c r="G36" s="8" t="str">
        <x:v>ШС1</x:v>
      </x:c>
      <x:c r="H36" s="8" t="str">
        <x:v>Провод</x:v>
      </x:c>
      <x:c r="I36" s="8" t="str"/>
      <x:c r="J36" s="9"/>
    </x:row>
    <x:row r="37" ht="31" hidden="0" customHeight="1">
      <x:c r="A37" s="8" t="n">
        <x:v>33</x:v>
      </x:c>
      <x:c r="B37" s="8" t="str">
        <x:v>2</x:v>
      </x:c>
      <x:c r="C37" s="8" t="str">
        <x:v>A1:C0 [П06]</x:v>
      </x:c>
      <x:c r="D37" s="8" t="str">
        <x:v>A1:S/S [Л01]</x:v>
      </x:c>
      <x:c r="E37" s="8" t="str">
        <x:v>0,75 мм²</x:v>
      </x:c>
      <x:c r="F37" s="8" t="str">
        <x:v>чёрный</x:v>
      </x:c>
      <x:c r="G37" s="8" t="str">
        <x:v>ШС1</x:v>
      </x:c>
      <x:c r="H37" s="8" t="str">
        <x:v>Провод</x:v>
      </x:c>
      <x:c r="I37" s="8" t="str"/>
      <x:c r="J37" s="9"/>
    </x:row>
    <x:row r="38" ht="31" hidden="0" customHeight="1">
      <x:c r="A38" s="8" t="n">
        <x:v>34</x:v>
      </x:c>
      <x:c r="B38" s="8" t="str">
        <x:v>2</x:v>
      </x:c>
      <x:c r="C38" s="8" t="str">
        <x:v>A1:S/S [Л01]</x:v>
      </x:c>
      <x:c r="D38" s="8" t="str">
        <x:v>A1:S/S [П01]</x:v>
      </x:c>
      <x:c r="E38" s="8" t="str">
        <x:v>0,75 мм²</x:v>
      </x:c>
      <x:c r="F38" s="8" t="str">
        <x:v>чёрный</x:v>
      </x:c>
      <x:c r="G38" s="8" t="str">
        <x:v>ШС1</x:v>
      </x:c>
      <x:c r="H38" s="8" t="str">
        <x:v>Провод</x:v>
      </x:c>
      <x:c r="I38" s="8" t="str"/>
      <x:c r="J38" s="9"/>
    </x:row>
    <x:row r="39" ht="31" hidden="0" customHeight="1">
      <x:c r="A39" s="8" t="n">
        <x:v>35</x:v>
      </x:c>
      <x:c r="B39" s="8" t="str">
        <x:v>2</x:v>
      </x:c>
      <x:c r="C39" s="8" t="str">
        <x:v>A2:S/S [Л01]</x:v>
      </x:c>
      <x:c r="D39" s="8" t="str">
        <x:v>A2:S/S [Л02]</x:v>
      </x:c>
      <x:c r="E39" s="8" t="str">
        <x:v>0,75 мм²</x:v>
      </x:c>
      <x:c r="F39" s="8" t="str">
        <x:v>чёрный</x:v>
      </x:c>
      <x:c r="G39" s="8" t="str">
        <x:v>ШС1</x:v>
      </x:c>
      <x:c r="H39" s="8" t="str">
        <x:v>Провод</x:v>
      </x:c>
      <x:c r="I39" s="8" t="str"/>
      <x:c r="J39" s="9"/>
    </x:row>
    <x:row r="40" ht="31" hidden="0" customHeight="1">
      <x:c r="A40" s="8" t="n">
        <x:v>36</x:v>
      </x:c>
      <x:c r="B40" s="8" t="str">
        <x:v>2</x:v>
      </x:c>
      <x:c r="C40" s="8" t="str">
        <x:v>A2:S/S [Л02]</x:v>
      </x:c>
      <x:c r="D40" s="8" t="str">
        <x:v>A2:S/S [П01]</x:v>
      </x:c>
      <x:c r="E40" s="8" t="str">
        <x:v>0,75 мм²</x:v>
      </x:c>
      <x:c r="F40" s="8" t="str">
        <x:v>чёрный</x:v>
      </x:c>
      <x:c r="G40" s="8" t="str">
        <x:v>ШС1</x:v>
      </x:c>
      <x:c r="H40" s="8" t="str">
        <x:v>Провод</x:v>
      </x:c>
      <x:c r="I40" s="8" t="str"/>
      <x:c r="J40" s="9"/>
    </x:row>
    <x:row r="41" ht="31" hidden="0" customHeight="1">
      <x:c r="A41" s="8" t="n">
        <x:v>37</x:v>
      </x:c>
      <x:c r="B41" s="8" t="str">
        <x:v>2</x:v>
      </x:c>
      <x:c r="C41" s="8" t="str">
        <x:v>A2:S/S [П01]</x:v>
      </x:c>
      <x:c r="D41" s="8" t="str">
        <x:v>A2:S/S [П02]</x:v>
      </x:c>
      <x:c r="E41" s="8" t="str">
        <x:v>0,75 мм²</x:v>
      </x:c>
      <x:c r="F41" s="8" t="str">
        <x:v>чёрный</x:v>
      </x:c>
      <x:c r="G41" s="8" t="str">
        <x:v>ШС1</x:v>
      </x:c>
      <x:c r="H41" s="8" t="str">
        <x:v>Провод</x:v>
      </x:c>
      <x:c r="I41" s="8" t="str"/>
      <x:c r="J41" s="9"/>
    </x:row>
    <x:row r="42" ht="31" hidden="0" customHeight="1">
      <x:c r="A42" s="8" t="n">
        <x:v>38</x:v>
      </x:c>
      <x:c r="B42" s="8" t="str">
        <x:v>2</x:v>
      </x:c>
      <x:c r="C42" s="8" t="str">
        <x:v>A3:0V</x:v>
      </x:c>
      <x:c r="D42" s="8" t="str">
        <x:v>A3:VI1−</x:v>
      </x:c>
      <x:c r="E42" s="8" t="str">
        <x:v>24 AWG</x:v>
      </x:c>
      <x:c r="F42" s="8" t="str">
        <x:v>белый¹</x:v>
      </x:c>
      <x:c r="G42" s="8" t="str">
        <x:v>ШС1</x:v>
      </x:c>
      <x:c r="H42" s="8" t="str">
        <x:v>Провод</x:v>
      </x:c>
      <x:c r="I42" s="8" t="str">
        <x:v>24 AWG, белый; функциональные обозначения на концах. Неподвижно.</x:v>
      </x:c>
      <x:c r="J42" s="9"/>
    </x:row>
    <x:row r="43" ht="31" hidden="0" customHeight="1">
      <x:c r="A43" s="8" t="n">
        <x:v>39</x:v>
      </x:c>
      <x:c r="B43" s="8" t="str">
        <x:v>2</x:v>
      </x:c>
      <x:c r="C43" s="8" t="str">
        <x:v>A4:C0 [П01]</x:v>
      </x:c>
      <x:c r="D43" s="8" t="str">
        <x:v>A4:C0 [П02]</x:v>
      </x:c>
      <x:c r="E43" s="8" t="str">
        <x:v>0,75 мм²</x:v>
      </x:c>
      <x:c r="F43" s="8" t="str">
        <x:v>чёрный</x:v>
      </x:c>
      <x:c r="G43" s="8" t="str">
        <x:v>ШС1</x:v>
      </x:c>
      <x:c r="H43" s="8" t="str">
        <x:v>Провод</x:v>
      </x:c>
      <x:c r="I43" s="8" t="str"/>
      <x:c r="J43" s="9"/>
    </x:row>
    <x:row r="44" ht="31" hidden="0" customHeight="1">
      <x:c r="A44" s="8" t="n">
        <x:v>40</x:v>
      </x:c>
      <x:c r="B44" s="8" t="str">
        <x:v>2</x:v>
      </x:c>
      <x:c r="C44" s="8" t="str">
        <x:v>A4:C0 [П02]</x:v>
      </x:c>
      <x:c r="D44" s="8" t="str">
        <x:v>A4:S/S [Л01]</x:v>
      </x:c>
      <x:c r="E44" s="8" t="str">
        <x:v>0,75 мм²</x:v>
      </x:c>
      <x:c r="F44" s="8" t="str">
        <x:v>чёрный</x:v>
      </x:c>
      <x:c r="G44" s="8" t="str">
        <x:v>ШС1</x:v>
      </x:c>
      <x:c r="H44" s="8" t="str">
        <x:v>Провод</x:v>
      </x:c>
      <x:c r="I44" s="8" t="str"/>
      <x:c r="J44" s="9"/>
    </x:row>
    <x:row r="45" ht="31" hidden="0" customHeight="1">
      <x:c r="A45" s="8" t="n">
        <x:v>41</x:v>
      </x:c>
      <x:c r="B45" s="8" t="str">
        <x:v>2</x:v>
      </x:c>
      <x:c r="C45" s="8" t="str">
        <x:v>A4:S/S [Л01]</x:v>
      </x:c>
      <x:c r="D45" s="8" t="str">
        <x:v>A4:S/S [Л02]</x:v>
      </x:c>
      <x:c r="E45" s="8" t="str">
        <x:v>0,75 мм²</x:v>
      </x:c>
      <x:c r="F45" s="8" t="str">
        <x:v>чёрный</x:v>
      </x:c>
      <x:c r="G45" s="8" t="str">
        <x:v>ШС1</x:v>
      </x:c>
      <x:c r="H45" s="8" t="str">
        <x:v>Провод</x:v>
      </x:c>
      <x:c r="I45" s="8" t="str"/>
      <x:c r="J45" s="9"/>
    </x:row>
    <x:row r="46" ht="31" hidden="0" customHeight="1">
      <x:c r="A46" s="8" t="n">
        <x:v>42</x:v>
      </x:c>
      <x:c r="B46" s="8" t="str">
        <x:v>2</x:v>
      </x:c>
      <x:c r="C46" s="8" t="str">
        <x:v>A8:P1-</x:v>
      </x:c>
      <x:c r="D46" s="8" t="str">
        <x:v>A9:PWR 2</x:v>
      </x:c>
      <x:c r="E46" s="8" t="str">
        <x:v>0,75 мм²</x:v>
      </x:c>
      <x:c r="F46" s="8" t="str">
        <x:v>чёрный</x:v>
      </x:c>
      <x:c r="G46" s="8" t="str">
        <x:v>ШС1</x:v>
      </x:c>
      <x:c r="H46" s="8" t="str">
        <x:v>Провод</x:v>
      </x:c>
      <x:c r="I46" s="8" t="str"/>
      <x:c r="J46" s="9"/>
    </x:row>
    <x:row r="47" ht="31" hidden="0" customHeight="1">
      <x:c r="A47" s="8" t="n">
        <x:v>43</x:v>
      </x:c>
      <x:c r="B47" s="8" t="str">
        <x:v>2</x:v>
      </x:c>
      <x:c r="C47" s="8" t="str">
        <x:v>G2:-V</x:v>
      </x:c>
      <x:c r="D47" s="8" t="str">
        <x:v>PE1:15</x:v>
      </x:c>
      <x:c r="E47" s="8" t="str">
        <x:v>2,5 мм²</x:v>
      </x:c>
      <x:c r="F47" s="8" t="str">
        <x:v>чёрный</x:v>
      </x:c>
      <x:c r="G47" s="8" t="str">
        <x:v>ШС1</x:v>
      </x:c>
      <x:c r="H47" s="8" t="str">
        <x:v>Провод</x:v>
      </x:c>
      <x:c r="I47" s="8" t="str">
        <x:v>Постоянная связь 0 В–PE; второй минусовой зажим G2</x:v>
      </x:c>
      <x:c r="J47" s="9"/>
    </x:row>
    <x:row r="48" ht="31" hidden="0" customHeight="1">
      <x:c r="A48" s="8" t="n">
        <x:v>44</x:v>
      </x:c>
      <x:c r="B48" s="8" t="str">
        <x:v>2</x:v>
      </x:c>
      <x:c r="C48" s="8" t="str">
        <x:v>G2:-V</x:v>
      </x:c>
      <x:c r="D48" s="8" t="str">
        <x:v>XD2:01a</x:v>
      </x:c>
      <x:c r="E48" s="8" t="str">
        <x:v>2,5 мм²</x:v>
      </x:c>
      <x:c r="F48" s="8" t="str">
        <x:v>чёрный</x:v>
      </x:c>
      <x:c r="G48" s="8" t="str">
        <x:v>ШС1</x:v>
      </x:c>
      <x:c r="H48" s="8" t="str">
        <x:v>Провод</x:v>
      </x:c>
      <x:c r="I48" s="8" t="str">
        <x:v>Ввод на распределительную группу</x:v>
      </x:c>
      <x:c r="J48" s="9"/>
    </x:row>
    <x:row r="49" ht="31" hidden="0" customHeight="1">
      <x:c r="A49" s="8" t="n">
        <x:v>45</x:v>
      </x:c>
      <x:c r="B49" s="8" t="str">
        <x:v>2</x:v>
      </x:c>
      <x:c r="C49" s="8" t="str">
        <x:v>K15:A2</x:v>
      </x:c>
      <x:c r="D49" s="8" t="str">
        <x:v>KV1:A2</x:v>
      </x:c>
      <x:c r="E49" s="8" t="str">
        <x:v>0,75 мм²</x:v>
      </x:c>
      <x:c r="F49" s="8" t="str">
        <x:v>чёрный</x:v>
      </x:c>
      <x:c r="G49" s="8" t="str">
        <x:v>ШС1</x:v>
      </x:c>
      <x:c r="H49" s="8" t="str">
        <x:v>Провод</x:v>
      </x:c>
      <x:c r="I49" s="8" t="str"/>
      <x:c r="J49" s="9"/>
    </x:row>
    <x:row r="50" ht="31" hidden="0" customHeight="1">
      <x:c r="A50" s="8" t="n">
        <x:v>46</x:v>
      </x:c>
      <x:c r="B50" s="8" t="str">
        <x:v>2</x:v>
      </x:c>
      <x:c r="C50" s="8" t="str">
        <x:v>KSR1:A2</x:v>
      </x:c>
      <x:c r="D50" s="8" t="str">
        <x:v>K15:A2</x:v>
      </x:c>
      <x:c r="E50" s="8" t="str">
        <x:v>0,75 мм²</x:v>
      </x:c>
      <x:c r="F50" s="8" t="str">
        <x:v>чёрный</x:v>
      </x:c>
      <x:c r="G50" s="8" t="str">
        <x:v>ШС1</x:v>
      </x:c>
      <x:c r="H50" s="8" t="str">
        <x:v>Провод</x:v>
      </x:c>
      <x:c r="I50" s="8" t="str"/>
      <x:c r="J50" s="9"/>
    </x:row>
    <x:row r="51" ht="31" hidden="0" customHeight="1">
      <x:c r="A51" s="8" t="n">
        <x:v>47</x:v>
      </x:c>
      <x:c r="B51" s="8" t="str">
        <x:v>2</x:v>
      </x:c>
      <x:c r="C51" s="8" t="str">
        <x:v>KV1:A2</x:v>
      </x:c>
      <x:c r="D51" s="8" t="str">
        <x:v>KM1:A2</x:v>
      </x:c>
      <x:c r="E51" s="8" t="str">
        <x:v>0,75 мм²</x:v>
      </x:c>
      <x:c r="F51" s="8" t="str">
        <x:v>чёрный</x:v>
      </x:c>
      <x:c r="G51" s="8" t="str">
        <x:v>ШС1</x:v>
      </x:c>
      <x:c r="H51" s="8" t="str">
        <x:v>Провод</x:v>
      </x:c>
      <x:c r="I51" s="8" t="str"/>
      <x:c r="J51" s="9"/>
    </x:row>
    <x:row r="52" ht="31" hidden="0" customHeight="1">
      <x:c r="A52" s="8" t="n">
        <x:v>48</x:v>
      </x:c>
      <x:c r="B52" s="8" t="str">
        <x:v>2</x:v>
      </x:c>
      <x:c r="C52" s="8" t="str">
        <x:v>UZ1:DCM</x:v>
      </x:c>
      <x:c r="D52" s="8" t="str">
        <x:v>K1:11</x:v>
      </x:c>
      <x:c r="E52" s="8" t="str">
        <x:v>0,75 мм²</x:v>
      </x:c>
      <x:c r="F52" s="8" t="str">
        <x:v>чёрный</x:v>
      </x:c>
      <x:c r="G52" s="8" t="str">
        <x:v>ШС1</x:v>
      </x:c>
      <x:c r="H52" s="8" t="str">
        <x:v>Провод</x:v>
      </x:c>
      <x:c r="I52" s="8" t="str"/>
      <x:c r="J52" s="9"/>
    </x:row>
    <x:row r="53" ht="31" hidden="0" customHeight="1">
      <x:c r="A53" s="8" t="n">
        <x:v>49</x:v>
      </x:c>
      <x:c r="B53" s="8" t="str">
        <x:v>2</x:v>
      </x:c>
      <x:c r="C53" s="8" t="str">
        <x:v>XD2:01b</x:v>
      </x:c>
      <x:c r="D53" s="8" t="str">
        <x:v>A1:C0 [Л06]</x:v>
      </x:c>
      <x:c r="E53" s="8" t="str">
        <x:v>0,75 мм²</x:v>
      </x:c>
      <x:c r="F53" s="8" t="str">
        <x:v>чёрный</x:v>
      </x:c>
      <x:c r="G53" s="8" t="str">
        <x:v>ШС1</x:v>
      </x:c>
      <x:c r="H53" s="8" t="str">
        <x:v>Провод</x:v>
      </x:c>
      <x:c r="I53" s="8" t="str"/>
      <x:c r="J53" s="9"/>
    </x:row>
    <x:row r="54" ht="31" hidden="0" customHeight="1">
      <x:c r="A54" s="8" t="n">
        <x:v>50</x:v>
      </x:c>
      <x:c r="B54" s="8" t="str">
        <x:v>2</x:v>
      </x:c>
      <x:c r="C54" s="8" t="str">
        <x:v>XD2:02b</x:v>
      </x:c>
      <x:c r="D54" s="8" t="str">
        <x:v>A2:S/S [Л01]</x:v>
      </x:c>
      <x:c r="E54" s="8" t="str">
        <x:v>0,75 мм²</x:v>
      </x:c>
      <x:c r="F54" s="8" t="str">
        <x:v>чёрный</x:v>
      </x:c>
      <x:c r="G54" s="8" t="str">
        <x:v>ШС1</x:v>
      </x:c>
      <x:c r="H54" s="8" t="str">
        <x:v>Провод</x:v>
      </x:c>
      <x:c r="I54" s="8" t="str"/>
      <x:c r="J54" s="9"/>
    </x:row>
    <x:row r="55" ht="31" hidden="0" customHeight="1">
      <x:c r="A55" s="8" t="n">
        <x:v>51</x:v>
      </x:c>
      <x:c r="B55" s="8" t="str">
        <x:v>2</x:v>
      </x:c>
      <x:c r="C55" s="8" t="str">
        <x:v>XD2:03b</x:v>
      </x:c>
      <x:c r="D55" s="8" t="str">
        <x:v>A3:0V</x:v>
      </x:c>
      <x:c r="E55" s="8" t="str">
        <x:v>24 AWG</x:v>
      </x:c>
      <x:c r="F55" s="8" t="str">
        <x:v>белый¹</x:v>
      </x:c>
      <x:c r="G55" s="8" t="str">
        <x:v>ШС1</x:v>
      </x:c>
      <x:c r="H55" s="8" t="str">
        <x:v>Провод</x:v>
      </x:c>
      <x:c r="I55" s="8" t="str">
        <x:v>24 AWG, белый; функциональные обозначения на концах. Неподвижно.</x:v>
      </x:c>
      <x:c r="J55" s="9"/>
    </x:row>
    <x:row r="56" ht="31" hidden="0" customHeight="1">
      <x:c r="A56" s="8" t="n">
        <x:v>52</x:v>
      </x:c>
      <x:c r="B56" s="8" t="str">
        <x:v>2</x:v>
      </x:c>
      <x:c r="C56" s="8" t="str">
        <x:v>XD2:04b</x:v>
      </x:c>
      <x:c r="D56" s="8" t="str">
        <x:v>A4:C0 [П01]</x:v>
      </x:c>
      <x:c r="E56" s="8" t="str">
        <x:v>0,75 мм²</x:v>
      </x:c>
      <x:c r="F56" s="8" t="str">
        <x:v>чёрный</x:v>
      </x:c>
      <x:c r="G56" s="8" t="str">
        <x:v>ШС1</x:v>
      </x:c>
      <x:c r="H56" s="8" t="str">
        <x:v>Провод</x:v>
      </x:c>
      <x:c r="I56" s="8" t="str"/>
      <x:c r="J56" s="9"/>
    </x:row>
    <x:row r="57" ht="31" hidden="0" customHeight="1">
      <x:c r="A57" s="8" t="n">
        <x:v>53</x:v>
      </x:c>
      <x:c r="B57" s="8" t="str">
        <x:v>2</x:v>
      </x:c>
      <x:c r="C57" s="8" t="str">
        <x:v>XD2:05b</x:v>
      </x:c>
      <x:c r="D57" s="8" t="str">
        <x:v>A8:P1-</x:v>
      </x:c>
      <x:c r="E57" s="8" t="str">
        <x:v>0,75 мм²</x:v>
      </x:c>
      <x:c r="F57" s="8" t="str">
        <x:v>чёрный</x:v>
      </x:c>
      <x:c r="G57" s="8" t="str">
        <x:v>ШС1</x:v>
      </x:c>
      <x:c r="H57" s="8" t="str">
        <x:v>Провод</x:v>
      </x:c>
      <x:c r="I57" s="8" t="str"/>
      <x:c r="J57" s="9"/>
    </x:row>
    <x:row r="58" ht="31" hidden="0" customHeight="1">
      <x:c r="A58" s="8" t="n">
        <x:v>54</x:v>
      </x:c>
      <x:c r="B58" s="8" t="str">
        <x:v>2</x:v>
      </x:c>
      <x:c r="C58" s="8" t="str">
        <x:v>XD2:06b</x:v>
      </x:c>
      <x:c r="D58" s="8" t="str">
        <x:v>KSR1:A2</x:v>
      </x:c>
      <x:c r="E58" s="8" t="str">
        <x:v>0,75 мм²</x:v>
      </x:c>
      <x:c r="F58" s="8" t="str">
        <x:v>чёрный</x:v>
      </x:c>
      <x:c r="G58" s="8" t="str">
        <x:v>ШС1</x:v>
      </x:c>
      <x:c r="H58" s="8" t="str">
        <x:v>Провод</x:v>
      </x:c>
      <x:c r="I58" s="8" t="str"/>
      <x:c r="J58" s="9"/>
    </x:row>
    <x:row r="59" ht="31" hidden="0" customHeight="1">
      <x:c r="A59" s="8" t="n">
        <x:v>55</x:v>
      </x:c>
      <x:c r="B59" s="8" t="str">
        <x:v>2</x:v>
      </x:c>
      <x:c r="C59" s="8" t="str">
        <x:v>XD2:07b</x:v>
      </x:c>
      <x:c r="D59" s="8" t="str">
        <x:v>UZ1:DCM</x:v>
      </x:c>
      <x:c r="E59" s="8" t="str">
        <x:v>0,75 мм²</x:v>
      </x:c>
      <x:c r="F59" s="8" t="str">
        <x:v>чёрный</x:v>
      </x:c>
      <x:c r="G59" s="8" t="str">
        <x:v>ШС1</x:v>
      </x:c>
      <x:c r="H59" s="8" t="str">
        <x:v>Провод</x:v>
      </x:c>
      <x:c r="I59" s="8" t="str"/>
      <x:c r="J59" s="9"/>
    </x:row>
    <x:row r="60" ht="31" hidden="0" customHeight="1">
      <x:c r="A60" s="8" t="n">
        <x:v>56</x:v>
      </x:c>
      <x:c r="B60" s="8" t="str">
        <x:v>2</x:v>
      </x:c>
      <x:c r="C60" s="8" t="str">
        <x:v>XD2:08b</x:v>
      </x:c>
      <x:c r="D60" s="8" t="str">
        <x:v>XT2:2</x:v>
      </x:c>
      <x:c r="E60" s="8" t="str">
        <x:v>0,75 мм²</x:v>
      </x:c>
      <x:c r="F60" s="8" t="str">
        <x:v>чёрный</x:v>
      </x:c>
      <x:c r="G60" s="8" t="str">
        <x:v>ШС1</x:v>
      </x:c>
      <x:c r="H60" s="8" t="str">
        <x:v>Провод</x:v>
      </x:c>
      <x:c r="I60" s="8" t="str"/>
      <x:c r="J60" s="9"/>
    </x:row>
    <x:row r="61" ht="31" hidden="0" customHeight="1">
      <x:c r="A61" s="8" t="n">
        <x:v>57</x:v>
      </x:c>
      <x:c r="B61" s="8" t="str">
        <x:v>2</x:v>
      </x:c>
      <x:c r="C61" s="8" t="str">
        <x:v>XD2:09b</x:v>
      </x:c>
      <x:c r="D61" s="8" t="str">
        <x:v>XT3:2</x:v>
      </x:c>
      <x:c r="E61" s="8" t="str">
        <x:v>2,5 мм²</x:v>
      </x:c>
      <x:c r="F61" s="8" t="str">
        <x:v>чёрный</x:v>
      </x:c>
      <x:c r="G61" s="8" t="str">
        <x:v>ШС1</x:v>
      </x:c>
      <x:c r="H61" s="8" t="str">
        <x:v>Провод</x:v>
      </x:c>
      <x:c r="I61" s="8" t="str"/>
      <x:c r="J61" s="9"/>
    </x:row>
    <x:row r="62" ht="31" hidden="0" customHeight="1">
      <x:c r="A62" s="8" t="n">
        <x:v>58</x:v>
      </x:c>
      <x:c r="B62" s="8" t="str">
        <x:v>2</x:v>
      </x:c>
      <x:c r="C62" s="8" t="str">
        <x:v>XD2:10a</x:v>
      </x:c>
      <x:c r="D62" s="8" t="str">
        <x:v>XD2:11a</x:v>
      </x:c>
      <x:c r="E62" s="8" t="str">
        <x:v>2,5 мм²</x:v>
      </x:c>
      <x:c r="F62" s="8" t="str">
        <x:v>чёрный</x:v>
      </x:c>
      <x:c r="G62" s="8" t="str">
        <x:v>ШС1</x:v>
      </x:c>
      <x:c r="H62" s="8" t="str">
        <x:v>Провод</x:v>
      </x:c>
      <x:c r="I62" s="8" t="str">
        <x:v>Проводная перемычка, продолжение общей цепи 2 на клемму 11</x:v>
      </x:c>
      <x:c r="J62" s="9"/>
    </x:row>
    <x:row r="63" ht="31" hidden="0" customHeight="1">
      <x:c r="A63" s="8" t="n">
        <x:v>59</x:v>
      </x:c>
      <x:c r="B63" s="8" t="str">
        <x:v>2</x:v>
      </x:c>
      <x:c r="C63" s="8" t="str">
        <x:v>XD2:10b</x:v>
      </x:c>
      <x:c r="D63" s="8" t="str">
        <x:v>XT8:2</x:v>
      </x:c>
      <x:c r="E63" s="8" t="str">
        <x:v>2,5 мм²</x:v>
      </x:c>
      <x:c r="F63" s="8" t="str">
        <x:v>чёрный</x:v>
      </x:c>
      <x:c r="G63" s="8" t="str">
        <x:v>ШС1</x:v>
      </x:c>
      <x:c r="H63" s="8" t="str">
        <x:v>Провод</x:v>
      </x:c>
      <x:c r="I63" s="8" t="str"/>
      <x:c r="J63" s="9"/>
    </x:row>
    <x:row r="64" ht="31" hidden="0" customHeight="1">
      <x:c r="A64" s="8" t="n">
        <x:v>60</x:v>
      </x:c>
      <x:c r="B64" s="8" t="str">
        <x:v>2</x:v>
      </x:c>
      <x:c r="C64" s="8" t="str">
        <x:v>XD2:11b</x:v>
      </x:c>
      <x:c r="D64" s="8" t="str">
        <x:v>XT11:2</x:v>
      </x:c>
      <x:c r="E64" s="8" t="str">
        <x:v>0,75 мм²</x:v>
      </x:c>
      <x:c r="F64" s="8" t="str">
        <x:v>чёрный</x:v>
      </x:c>
      <x:c r="G64" s="8" t="str">
        <x:v>ШС1</x:v>
      </x:c>
      <x:c r="H64" s="8" t="str">
        <x:v>Провод</x:v>
      </x:c>
      <x:c r="I64" s="8" t="str"/>
      <x:c r="J64" s="9"/>
    </x:row>
    <x:row r="65" ht="31" hidden="0" customHeight="1">
      <x:c r="A65" s="8" t="n">
        <x:v>61</x:v>
      </x:c>
      <x:c r="B65" s="8" t="str">
        <x:v>2</x:v>
      </x:c>
      <x:c r="C65" s="8" t="str">
        <x:v>XT3:2</x:v>
      </x:c>
      <x:c r="D65" s="8" t="str">
        <x:v>XT3:4</x:v>
      </x:c>
      <x:c r="E65" s="8" t="str">
        <x:v>2,5 мм²</x:v>
      </x:c>
      <x:c r="F65" s="8" t="str">
        <x:v>чёрный</x:v>
      </x:c>
      <x:c r="G65" s="8" t="str">
        <x:v>ШС1</x:v>
      </x:c>
      <x:c r="H65" s="8" t="str">
        <x:v>Провод</x:v>
      </x:c>
      <x:c r="I65" s="8" t="str"/>
      <x:c r="J65" s="9"/>
    </x:row>
    <x:row r="66" ht="31" hidden="0" customHeight="1">
      <x:c r="A66" s="8" t="n">
        <x:v>62</x:v>
      </x:c>
      <x:c r="B66" s="8" t="str">
        <x:v>2</x:v>
      </x:c>
      <x:c r="C66" s="8" t="str">
        <x:v>XT3:4</x:v>
      </x:c>
      <x:c r="D66" s="8" t="str">
        <x:v>XT3:6</x:v>
      </x:c>
      <x:c r="E66" s="8" t="str">
        <x:v>2,5 мм²</x:v>
      </x:c>
      <x:c r="F66" s="8" t="str">
        <x:v>чёрный</x:v>
      </x:c>
      <x:c r="G66" s="8" t="str">
        <x:v>ШС1</x:v>
      </x:c>
      <x:c r="H66" s="8" t="str">
        <x:v>Провод</x:v>
      </x:c>
      <x:c r="I66" s="8" t="str"/>
      <x:c r="J66" s="9"/>
    </x:row>
    <x:row r="67" ht="31" hidden="0" customHeight="1">
      <x:c r="A67" s="8" t="n">
        <x:v>63</x:v>
      </x:c>
      <x:c r="B67" s="8" t="str">
        <x:v>2</x:v>
      </x:c>
      <x:c r="C67" s="8" t="str">
        <x:v>XT3:6</x:v>
      </x:c>
      <x:c r="D67" s="8" t="str">
        <x:v>XT3:8</x:v>
      </x:c>
      <x:c r="E67" s="8" t="str">
        <x:v>2,5 мм²</x:v>
      </x:c>
      <x:c r="F67" s="8" t="str">
        <x:v>чёрный</x:v>
      </x:c>
      <x:c r="G67" s="8" t="str">
        <x:v>ШС1</x:v>
      </x:c>
      <x:c r="H67" s="8" t="str">
        <x:v>Провод</x:v>
      </x:c>
      <x:c r="I67" s="8" t="str"/>
      <x:c r="J67" s="9"/>
    </x:row>
    <x:row r="68" ht="31" hidden="0" customHeight="1">
      <x:c r="A68" s="8" t="n">
        <x:v>64</x:v>
      </x:c>
      <x:c r="B68" s="8" t="str">
        <x:v>2</x:v>
      </x:c>
      <x:c r="C68" s="8" t="str">
        <x:v>XT3:8</x:v>
      </x:c>
      <x:c r="D68" s="8" t="str">
        <x:v>XT3:10</x:v>
      </x:c>
      <x:c r="E68" s="8" t="str">
        <x:v>2,5 мм²</x:v>
      </x:c>
      <x:c r="F68" s="8" t="str">
        <x:v>чёрный</x:v>
      </x:c>
      <x:c r="G68" s="8" t="str">
        <x:v>ШС1</x:v>
      </x:c>
      <x:c r="H68" s="8" t="str">
        <x:v>Провод</x:v>
      </x:c>
      <x:c r="I68" s="8" t="str"/>
      <x:c r="J68" s="9"/>
    </x:row>
    <x:row r="69" ht="31" hidden="0" customHeight="1">
      <x:c r="A69" s="8" t="n">
        <x:v>65</x:v>
      </x:c>
      <x:c r="B69" s="8" t="str">
        <x:v>2</x:v>
      </x:c>
      <x:c r="C69" s="8" t="str">
        <x:v>XT3:10</x:v>
      </x:c>
      <x:c r="D69" s="8" t="str">
        <x:v>XT3:12</x:v>
      </x:c>
      <x:c r="E69" s="8" t="str">
        <x:v>2,5 мм²</x:v>
      </x:c>
      <x:c r="F69" s="8" t="str">
        <x:v>чёрный</x:v>
      </x:c>
      <x:c r="G69" s="8" t="str">
        <x:v>ШС1</x:v>
      </x:c>
      <x:c r="H69" s="8" t="str">
        <x:v>Провод</x:v>
      </x:c>
      <x:c r="I69" s="8" t="str"/>
      <x:c r="J69" s="9"/>
    </x:row>
    <x:row r="70" ht="31" hidden="0" customHeight="1">
      <x:c r="A70" s="8" t="n">
        <x:v>66</x:v>
      </x:c>
      <x:c r="B70" s="8" t="str">
        <x:v>3</x:v>
      </x:c>
      <x:c r="C70" s="8" t="str">
        <x:v>A8:P1+</x:v>
      </x:c>
      <x:c r="D70" s="8" t="str">
        <x:v>A9:PWR 1</x:v>
      </x:c>
      <x:c r="E70" s="8" t="str">
        <x:v>0,75 мм²</x:v>
      </x:c>
      <x:c r="F70" s="8" t="str">
        <x:v>красный</x:v>
      </x:c>
      <x:c r="G70" s="8" t="str">
        <x:v>ШС1</x:v>
      </x:c>
      <x:c r="H70" s="8" t="str">
        <x:v>Провод</x:v>
      </x:c>
      <x:c r="I70" s="8" t="str"/>
      <x:c r="J70" s="9"/>
    </x:row>
    <x:row r="71" ht="31" hidden="0" customHeight="1">
      <x:c r="A71" s="8" t="n">
        <x:v>67</x:v>
      </x:c>
      <x:c r="B71" s="8" t="str">
        <x:v>3</x:v>
      </x:c>
      <x:c r="C71" s="8" t="str">
        <x:v>FU1:2</x:v>
      </x:c>
      <x:c r="D71" s="8" t="str">
        <x:v>XD3:01a</x:v>
      </x:c>
      <x:c r="E71" s="8" t="str">
        <x:v>2,5 мм²</x:v>
      </x:c>
      <x:c r="F71" s="8" t="str">
        <x:v>красный</x:v>
      </x:c>
      <x:c r="G71" s="8" t="str">
        <x:v>ШС1</x:v>
      </x:c>
      <x:c r="H71" s="8" t="str">
        <x:v>Провод</x:v>
      </x:c>
      <x:c r="I71" s="8" t="str">
        <x:v>Ввод на распределительную группу</x:v>
      </x:c>
      <x:c r="J71" s="9"/>
    </x:row>
    <x:row r="72" ht="31" hidden="0" customHeight="1">
      <x:c r="A72" s="8" t="n">
        <x:v>68</x:v>
      </x:c>
      <x:c r="B72" s="8" t="str">
        <x:v>3</x:v>
      </x:c>
      <x:c r="C72" s="8" t="str">
        <x:v>K1:A1</x:v>
      </x:c>
      <x:c r="D72" s="8" t="str">
        <x:v>K2:A1</x:v>
      </x:c>
      <x:c r="E72" s="8" t="str">
        <x:v>0,75 мм²</x:v>
      </x:c>
      <x:c r="F72" s="8" t="str">
        <x:v>красный</x:v>
      </x:c>
      <x:c r="G72" s="8" t="str">
        <x:v>ШС1</x:v>
      </x:c>
      <x:c r="H72" s="8" t="str">
        <x:v>Провод</x:v>
      </x:c>
      <x:c r="I72" s="8" t="str"/>
      <x:c r="J72" s="9"/>
    </x:row>
    <x:row r="73" ht="31" hidden="0" customHeight="1">
      <x:c r="A73" s="8" t="n">
        <x:v>69</x:v>
      </x:c>
      <x:c r="B73" s="8" t="str">
        <x:v>3</x:v>
      </x:c>
      <x:c r="C73" s="8" t="str">
        <x:v>K2:A1</x:v>
      </x:c>
      <x:c r="D73" s="8" t="str">
        <x:v>K3:A1</x:v>
      </x:c>
      <x:c r="E73" s="8" t="str">
        <x:v>0,75 мм²</x:v>
      </x:c>
      <x:c r="F73" s="8" t="str">
        <x:v>красный</x:v>
      </x:c>
      <x:c r="G73" s="8" t="str">
        <x:v>ШС1</x:v>
      </x:c>
      <x:c r="H73" s="8" t="str">
        <x:v>Провод</x:v>
      </x:c>
      <x:c r="I73" s="8" t="str"/>
      <x:c r="J73" s="9"/>
    </x:row>
    <x:row r="74" ht="31" hidden="0" customHeight="1">
      <x:c r="A74" s="8" t="n">
        <x:v>70</x:v>
      </x:c>
      <x:c r="B74" s="8" t="str">
        <x:v>3</x:v>
      </x:c>
      <x:c r="C74" s="8" t="str">
        <x:v>K3:A1</x:v>
      </x:c>
      <x:c r="D74" s="8" t="str">
        <x:v>K4:A1</x:v>
      </x:c>
      <x:c r="E74" s="8" t="str">
        <x:v>0,75 мм²</x:v>
      </x:c>
      <x:c r="F74" s="8" t="str">
        <x:v>красный</x:v>
      </x:c>
      <x:c r="G74" s="8" t="str">
        <x:v>ШС1</x:v>
      </x:c>
      <x:c r="H74" s="8" t="str">
        <x:v>Провод</x:v>
      </x:c>
      <x:c r="I74" s="8" t="str"/>
      <x:c r="J74" s="9"/>
    </x:row>
    <x:row r="75" ht="31" hidden="0" customHeight="1">
      <x:c r="A75" s="8" t="n">
        <x:v>71</x:v>
      </x:c>
      <x:c r="B75" s="8" t="str">
        <x:v>3</x:v>
      </x:c>
      <x:c r="C75" s="8" t="str">
        <x:v>K4:A1</x:v>
      </x:c>
      <x:c r="D75" s="8" t="str">
        <x:v>K5:A1</x:v>
      </x:c>
      <x:c r="E75" s="8" t="str">
        <x:v>0,75 мм²</x:v>
      </x:c>
      <x:c r="F75" s="8" t="str">
        <x:v>красный</x:v>
      </x:c>
      <x:c r="G75" s="8" t="str">
        <x:v>ШС1</x:v>
      </x:c>
      <x:c r="H75" s="8" t="str">
        <x:v>Провод</x:v>
      </x:c>
      <x:c r="I75" s="8" t="str"/>
      <x:c r="J75" s="9"/>
    </x:row>
    <x:row r="76" ht="31" hidden="0" customHeight="1">
      <x:c r="A76" s="8" t="n">
        <x:v>72</x:v>
      </x:c>
      <x:c r="B76" s="8" t="str">
        <x:v>3</x:v>
      </x:c>
      <x:c r="C76" s="8" t="str">
        <x:v>K5:A1</x:v>
      </x:c>
      <x:c r="D76" s="8" t="str">
        <x:v>K6:A1</x:v>
      </x:c>
      <x:c r="E76" s="8" t="str">
        <x:v>0,75 мм²</x:v>
      </x:c>
      <x:c r="F76" s="8" t="str">
        <x:v>красный</x:v>
      </x:c>
      <x:c r="G76" s="8" t="str">
        <x:v>ШС1</x:v>
      </x:c>
      <x:c r="H76" s="8" t="str">
        <x:v>Провод</x:v>
      </x:c>
      <x:c r="I76" s="8" t="str"/>
      <x:c r="J76" s="9"/>
    </x:row>
    <x:row r="77" ht="31" hidden="0" customHeight="1">
      <x:c r="A77" s="8" t="n">
        <x:v>73</x:v>
      </x:c>
      <x:c r="B77" s="8" t="str">
        <x:v>3</x:v>
      </x:c>
      <x:c r="C77" s="8" t="str">
        <x:v>K6:A1</x:v>
      </x:c>
      <x:c r="D77" s="8" t="str">
        <x:v>K7:A1</x:v>
      </x:c>
      <x:c r="E77" s="8" t="str">
        <x:v>0,75 мм²</x:v>
      </x:c>
      <x:c r="F77" s="8" t="str">
        <x:v>красный</x:v>
      </x:c>
      <x:c r="G77" s="8" t="str">
        <x:v>ШС1</x:v>
      </x:c>
      <x:c r="H77" s="8" t="str">
        <x:v>Провод</x:v>
      </x:c>
      <x:c r="I77" s="8" t="str"/>
      <x:c r="J77" s="9"/>
    </x:row>
    <x:row r="78" ht="31" hidden="0" customHeight="1">
      <x:c r="A78" s="8" t="n">
        <x:v>74</x:v>
      </x:c>
      <x:c r="B78" s="8" t="str">
        <x:v>3</x:v>
      </x:c>
      <x:c r="C78" s="8" t="str">
        <x:v>K7:A1</x:v>
      </x:c>
      <x:c r="D78" s="8" t="str">
        <x:v>K8:A1</x:v>
      </x:c>
      <x:c r="E78" s="8" t="str">
        <x:v>0,75 мм²</x:v>
      </x:c>
      <x:c r="F78" s="8" t="str">
        <x:v>красный</x:v>
      </x:c>
      <x:c r="G78" s="8" t="str">
        <x:v>ШС1</x:v>
      </x:c>
      <x:c r="H78" s="8" t="str">
        <x:v>Провод</x:v>
      </x:c>
      <x:c r="I78" s="8" t="str"/>
      <x:c r="J78" s="9"/>
    </x:row>
    <x:row r="79" ht="31" hidden="0" customHeight="1">
      <x:c r="A79" s="8" t="n">
        <x:v>75</x:v>
      </x:c>
      <x:c r="B79" s="8" t="str">
        <x:v>3</x:v>
      </x:c>
      <x:c r="C79" s="8" t="str">
        <x:v>K8:A1</x:v>
      </x:c>
      <x:c r="D79" s="8" t="str">
        <x:v>K9:A1</x:v>
      </x:c>
      <x:c r="E79" s="8" t="str">
        <x:v>0,75 мм²</x:v>
      </x:c>
      <x:c r="F79" s="8" t="str">
        <x:v>красный</x:v>
      </x:c>
      <x:c r="G79" s="8" t="str">
        <x:v>ШС1</x:v>
      </x:c>
      <x:c r="H79" s="8" t="str">
        <x:v>Провод</x:v>
      </x:c>
      <x:c r="I79" s="8" t="str"/>
      <x:c r="J79" s="9"/>
    </x:row>
    <x:row r="80" ht="31" hidden="0" customHeight="1">
      <x:c r="A80" s="8" t="n">
        <x:v>76</x:v>
      </x:c>
      <x:c r="B80" s="8" t="str">
        <x:v>3</x:v>
      </x:c>
      <x:c r="C80" s="8" t="str">
        <x:v>K9:A1</x:v>
      </x:c>
      <x:c r="D80" s="8" t="str">
        <x:v>K10:A1</x:v>
      </x:c>
      <x:c r="E80" s="8" t="str">
        <x:v>0,75 мм²</x:v>
      </x:c>
      <x:c r="F80" s="8" t="str">
        <x:v>красный</x:v>
      </x:c>
      <x:c r="G80" s="8" t="str">
        <x:v>ШС1</x:v>
      </x:c>
      <x:c r="H80" s="8" t="str">
        <x:v>Провод</x:v>
      </x:c>
      <x:c r="I80" s="8" t="str"/>
      <x:c r="J80" s="9"/>
    </x:row>
    <x:row r="81" ht="31" hidden="0" customHeight="1">
      <x:c r="A81" s="8" t="n">
        <x:v>77</x:v>
      </x:c>
      <x:c r="B81" s="8" t="str">
        <x:v>3</x:v>
      </x:c>
      <x:c r="C81" s="8" t="str">
        <x:v>K10:A1</x:v>
      </x:c>
      <x:c r="D81" s="8" t="str">
        <x:v>K11:A1</x:v>
      </x:c>
      <x:c r="E81" s="8" t="str">
        <x:v>0,75 мм²</x:v>
      </x:c>
      <x:c r="F81" s="8" t="str">
        <x:v>красный</x:v>
      </x:c>
      <x:c r="G81" s="8" t="str">
        <x:v>ШС1</x:v>
      </x:c>
      <x:c r="H81" s="8" t="str">
        <x:v>Провод</x:v>
      </x:c>
      <x:c r="I81" s="8" t="str"/>
      <x:c r="J81" s="9"/>
    </x:row>
    <x:row r="82" ht="31" hidden="0" customHeight="1">
      <x:c r="A82" s="8" t="n">
        <x:v>78</x:v>
      </x:c>
      <x:c r="B82" s="8" t="str">
        <x:v>3</x:v>
      </x:c>
      <x:c r="C82" s="8" t="str">
        <x:v>K11:A1</x:v>
      </x:c>
      <x:c r="D82" s="8" t="str">
        <x:v>K12:A1</x:v>
      </x:c>
      <x:c r="E82" s="8" t="str">
        <x:v>0,75 мм²</x:v>
      </x:c>
      <x:c r="F82" s="8" t="str">
        <x:v>красный</x:v>
      </x:c>
      <x:c r="G82" s="8" t="str">
        <x:v>ШС1</x:v>
      </x:c>
      <x:c r="H82" s="8" t="str">
        <x:v>Провод</x:v>
      </x:c>
      <x:c r="I82" s="8" t="str"/>
      <x:c r="J82" s="9"/>
    </x:row>
    <x:row r="83" ht="31" hidden="0" customHeight="1">
      <x:c r="A83" s="8" t="n">
        <x:v>79</x:v>
      </x:c>
      <x:c r="B83" s="8" t="str">
        <x:v>3</x:v>
      </x:c>
      <x:c r="C83" s="8" t="str">
        <x:v>K12:A1</x:v>
      </x:c>
      <x:c r="D83" s="8" t="str">
        <x:v>K13:A1</x:v>
      </x:c>
      <x:c r="E83" s="8" t="str">
        <x:v>0,75 мм²</x:v>
      </x:c>
      <x:c r="F83" s="8" t="str">
        <x:v>красный</x:v>
      </x:c>
      <x:c r="G83" s="8" t="str">
        <x:v>ШС1</x:v>
      </x:c>
      <x:c r="H83" s="8" t="str">
        <x:v>Провод</x:v>
      </x:c>
      <x:c r="I83" s="8" t="str"/>
      <x:c r="J83" s="9"/>
    </x:row>
    <x:row r="84" ht="31" hidden="0" customHeight="1">
      <x:c r="A84" s="8" t="n">
        <x:v>80</x:v>
      </x:c>
      <x:c r="B84" s="8" t="str">
        <x:v>3</x:v>
      </x:c>
      <x:c r="C84" s="8" t="str">
        <x:v>K13:A1</x:v>
      </x:c>
      <x:c r="D84" s="8" t="str">
        <x:v>K14:A1</x:v>
      </x:c>
      <x:c r="E84" s="8" t="str">
        <x:v>0,75 мм²</x:v>
      </x:c>
      <x:c r="F84" s="8" t="str">
        <x:v>красный</x:v>
      </x:c>
      <x:c r="G84" s="8" t="str">
        <x:v>ШС1</x:v>
      </x:c>
      <x:c r="H84" s="8" t="str">
        <x:v>Провод</x:v>
      </x:c>
      <x:c r="I84" s="8" t="str"/>
      <x:c r="J84" s="9"/>
    </x:row>
    <x:row r="85" ht="31" hidden="0" customHeight="1">
      <x:c r="A85" s="8" t="n">
        <x:v>81</x:v>
      </x:c>
      <x:c r="B85" s="8" t="str">
        <x:v>3</x:v>
      </x:c>
      <x:c r="C85" s="8" t="str">
        <x:v>K14:A1</x:v>
      </x:c>
      <x:c r="D85" s="8" t="str">
        <x:v>K16:A1</x:v>
      </x:c>
      <x:c r="E85" s="8" t="str">
        <x:v>0,75 мм²</x:v>
      </x:c>
      <x:c r="F85" s="8" t="str">
        <x:v>красный</x:v>
      </x:c>
      <x:c r="G85" s="8" t="str">
        <x:v>ШС1</x:v>
      </x:c>
      <x:c r="H85" s="8" t="str">
        <x:v>Провод</x:v>
      </x:c>
      <x:c r="I85" s="8" t="str"/>
      <x:c r="J85" s="9"/>
    </x:row>
    <x:row r="86" ht="31" hidden="0" customHeight="1">
      <x:c r="A86" s="8" t="n">
        <x:v>82</x:v>
      </x:c>
      <x:c r="B86" s="8" t="str">
        <x:v>3</x:v>
      </x:c>
      <x:c r="C86" s="8" t="str">
        <x:v>KM1:13</x:v>
      </x:c>
      <x:c r="D86" s="8" t="str">
        <x:v>SK2:1</x:v>
      </x:c>
      <x:c r="E86" s="8" t="str">
        <x:v>0,75 мм²</x:v>
      </x:c>
      <x:c r="F86" s="8" t="str">
        <x:v>красный</x:v>
      </x:c>
      <x:c r="G86" s="8" t="str">
        <x:v>ШС1</x:v>
      </x:c>
      <x:c r="H86" s="8" t="str">
        <x:v>Провод</x:v>
      </x:c>
      <x:c r="I86" s="8" t="str"/>
      <x:c r="J86" s="9"/>
    </x:row>
    <x:row r="87" ht="31" hidden="0" customHeight="1">
      <x:c r="A87" s="8" t="n">
        <x:v>83</x:v>
      </x:c>
      <x:c r="B87" s="8" t="str">
        <x:v>3</x:v>
      </x:c>
      <x:c r="C87" s="8" t="str">
        <x:v>KV1:A1</x:v>
      </x:c>
      <x:c r="D87" s="8" t="str">
        <x:v>KV1:11</x:v>
      </x:c>
      <x:c r="E87" s="8" t="str">
        <x:v>0,75 мм²</x:v>
      </x:c>
      <x:c r="F87" s="8" t="str">
        <x:v>красный</x:v>
      </x:c>
      <x:c r="G87" s="8" t="str">
        <x:v>ШС1</x:v>
      </x:c>
      <x:c r="H87" s="8" t="str">
        <x:v>Провод</x:v>
      </x:c>
      <x:c r="I87" s="8" t="str"/>
      <x:c r="J87" s="9"/>
    </x:row>
    <x:row r="88" ht="31" hidden="0" customHeight="1">
      <x:c r="A88" s="8" t="n">
        <x:v>84</x:v>
      </x:c>
      <x:c r="B88" s="8" t="str">
        <x:v>3</x:v>
      </x:c>
      <x:c r="C88" s="8" t="str">
        <x:v>XD3:01b</x:v>
      </x:c>
      <x:c r="D88" s="8" t="str">
        <x:v>K1:A1</x:v>
      </x:c>
      <x:c r="E88" s="8" t="str">
        <x:v>0,75 мм²</x:v>
      </x:c>
      <x:c r="F88" s="8" t="str">
        <x:v>красный</x:v>
      </x:c>
      <x:c r="G88" s="8" t="str">
        <x:v>ШС1</x:v>
      </x:c>
      <x:c r="H88" s="8" t="str">
        <x:v>Провод</x:v>
      </x:c>
      <x:c r="I88" s="8" t="str"/>
      <x:c r="J88" s="9"/>
    </x:row>
    <x:row r="89" ht="31" hidden="0" customHeight="1">
      <x:c r="A89" s="8" t="n">
        <x:v>85</x:v>
      </x:c>
      <x:c r="B89" s="8" t="str">
        <x:v>3</x:v>
      </x:c>
      <x:c r="C89" s="8" t="str">
        <x:v>XD3:02b</x:v>
      </x:c>
      <x:c r="D89" s="8" t="str">
        <x:v>KV1:A1</x:v>
      </x:c>
      <x:c r="E89" s="8" t="str">
        <x:v>0,75 мм²</x:v>
      </x:c>
      <x:c r="F89" s="8" t="str">
        <x:v>красный</x:v>
      </x:c>
      <x:c r="G89" s="8" t="str">
        <x:v>ШС1</x:v>
      </x:c>
      <x:c r="H89" s="8" t="str">
        <x:v>Провод</x:v>
      </x:c>
      <x:c r="I89" s="8" t="str"/>
      <x:c r="J89" s="9"/>
    </x:row>
    <x:row r="90" ht="31" hidden="0" customHeight="1">
      <x:c r="A90" s="8" t="n">
        <x:v>86</x:v>
      </x:c>
      <x:c r="B90" s="8" t="str">
        <x:v>3</x:v>
      </x:c>
      <x:c r="C90" s="8" t="str">
        <x:v>XD3:03b</x:v>
      </x:c>
      <x:c r="D90" s="8" t="str">
        <x:v>UZ1:RC</x:v>
      </x:c>
      <x:c r="E90" s="8" t="str">
        <x:v>0,75 мм²</x:v>
      </x:c>
      <x:c r="F90" s="8" t="str">
        <x:v>красный</x:v>
      </x:c>
      <x:c r="G90" s="8" t="str">
        <x:v>ШС1</x:v>
      </x:c>
      <x:c r="H90" s="8" t="str">
        <x:v>Провод</x:v>
      </x:c>
      <x:c r="I90" s="8" t="str"/>
      <x:c r="J90" s="9"/>
    </x:row>
    <x:row r="91" ht="31" hidden="0" customHeight="1">
      <x:c r="A91" s="8" t="n">
        <x:v>87</x:v>
      </x:c>
      <x:c r="B91" s="8" t="str">
        <x:v>3</x:v>
      </x:c>
      <x:c r="C91" s="8" t="str">
        <x:v>XD3:04b</x:v>
      </x:c>
      <x:c r="D91" s="8" t="str">
        <x:v>K9:11</x:v>
      </x:c>
      <x:c r="E91" s="8" t="str">
        <x:v>0,75 мм²</x:v>
      </x:c>
      <x:c r="F91" s="8" t="str">
        <x:v>красный</x:v>
      </x:c>
      <x:c r="G91" s="8" t="str">
        <x:v>ШС1</x:v>
      </x:c>
      <x:c r="H91" s="8" t="str">
        <x:v>Провод</x:v>
      </x:c>
      <x:c r="I91" s="8" t="str"/>
      <x:c r="J91" s="9"/>
    </x:row>
    <x:row r="92" ht="31" hidden="0" customHeight="1">
      <x:c r="A92" s="8" t="n">
        <x:v>88</x:v>
      </x:c>
      <x:c r="B92" s="8" t="str">
        <x:v>3</x:v>
      </x:c>
      <x:c r="C92" s="8" t="str">
        <x:v>XD3:05b</x:v>
      </x:c>
      <x:c r="D92" s="8" t="str">
        <x:v>SQ1:13</x:v>
      </x:c>
      <x:c r="E92" s="8" t="str">
        <x:v>0,75 мм²</x:v>
      </x:c>
      <x:c r="F92" s="8" t="str">
        <x:v>красный</x:v>
      </x:c>
      <x:c r="G92" s="8" t="str">
        <x:v>ШС1</x:v>
      </x:c>
      <x:c r="H92" s="8" t="str">
        <x:v>Провод</x:v>
      </x:c>
      <x:c r="I92" s="8" t="str"/>
      <x:c r="J92" s="9"/>
    </x:row>
    <x:row r="93" ht="31" hidden="0" customHeight="1">
      <x:c r="A93" s="8" t="n">
        <x:v>89</x:v>
      </x:c>
      <x:c r="B93" s="8" t="str">
        <x:v>3</x:v>
      </x:c>
      <x:c r="C93" s="8" t="str">
        <x:v>XD3:06b</x:v>
      </x:c>
      <x:c r="D93" s="8" t="str">
        <x:v>KM1:13</x:v>
      </x:c>
      <x:c r="E93" s="8" t="str">
        <x:v>0,75 мм²</x:v>
      </x:c>
      <x:c r="F93" s="8" t="str">
        <x:v>красный</x:v>
      </x:c>
      <x:c r="G93" s="8" t="str">
        <x:v>ШС1</x:v>
      </x:c>
      <x:c r="H93" s="8" t="str">
        <x:v>Провод</x:v>
      </x:c>
      <x:c r="I93" s="8" t="str"/>
      <x:c r="J93" s="9"/>
    </x:row>
    <x:row r="94" ht="31" hidden="0" customHeight="1">
      <x:c r="A94" s="8" t="n">
        <x:v>90</x:v>
      </x:c>
      <x:c r="B94" s="8" t="str">
        <x:v>3</x:v>
      </x:c>
      <x:c r="C94" s="8" t="str">
        <x:v>XD3:07b</x:v>
      </x:c>
      <x:c r="D94" s="8" t="str">
        <x:v>XT11:1</x:v>
      </x:c>
      <x:c r="E94" s="8" t="str">
        <x:v>0,75 мм²</x:v>
      </x:c>
      <x:c r="F94" s="8" t="str">
        <x:v>красный</x:v>
      </x:c>
      <x:c r="G94" s="8" t="str">
        <x:v>ШС1</x:v>
      </x:c>
      <x:c r="H94" s="8" t="str">
        <x:v>Провод</x:v>
      </x:c>
      <x:c r="I94" s="8" t="str"/>
      <x:c r="J94" s="9"/>
    </x:row>
    <x:row r="95" ht="31" hidden="0" customHeight="1">
      <x:c r="A95" s="8" t="n">
        <x:v>91</x:v>
      </x:c>
      <x:c r="B95" s="8" t="str">
        <x:v>3</x:v>
      </x:c>
      <x:c r="C95" s="8" t="str">
        <x:v>XD3:08b</x:v>
      </x:c>
      <x:c r="D95" s="8" t="str">
        <x:v>A8:P1+</x:v>
      </x:c>
      <x:c r="E95" s="8" t="str">
        <x:v>0,75 мм²</x:v>
      </x:c>
      <x:c r="F95" s="8" t="str">
        <x:v>красный</x:v>
      </x:c>
      <x:c r="G95" s="8" t="str">
        <x:v>ШС1</x:v>
      </x:c>
      <x:c r="H95" s="8" t="str">
        <x:v>Провод</x:v>
      </x:c>
      <x:c r="I95" s="8" t="str"/>
      <x:c r="J95" s="9"/>
    </x:row>
    <x:row r="96" ht="31" hidden="0" customHeight="1">
      <x:c r="A96" s="8" t="n">
        <x:v>92</x:v>
      </x:c>
      <x:c r="B96" s="8" t="str">
        <x:v>4</x:v>
      </x:c>
      <x:c r="C96" s="8" t="str">
        <x:v>FU2:2</x:v>
      </x:c>
      <x:c r="D96" s="8" t="str">
        <x:v>XT2:1</x:v>
      </x:c>
      <x:c r="E96" s="8" t="str">
        <x:v>0,75 мм²</x:v>
      </x:c>
      <x:c r="F96" s="8" t="str">
        <x:v>красный</x:v>
      </x:c>
      <x:c r="G96" s="8" t="str">
        <x:v>ШС1</x:v>
      </x:c>
      <x:c r="H96" s="8" t="str">
        <x:v>Провод</x:v>
      </x:c>
      <x:c r="I96" s="8" t="str"/>
      <x:c r="J96" s="9"/>
    </x:row>
    <x:row r="97" ht="31" hidden="0" customHeight="1">
      <x:c r="A97" s="8" t="n">
        <x:v>93</x:v>
      </x:c>
      <x:c r="B97" s="8" t="str">
        <x:v>4</x:v>
      </x:c>
      <x:c r="C97" s="8" t="str">
        <x:v>XT2:1</x:v>
      </x:c>
      <x:c r="D97" s="8" t="str">
        <x:v>XT2:4</x:v>
      </x:c>
      <x:c r="E97" s="8" t="str">
        <x:v>0,75 мм²</x:v>
      </x:c>
      <x:c r="F97" s="8" t="str">
        <x:v>красный</x:v>
      </x:c>
      <x:c r="G97" s="8" t="str">
        <x:v>ШС1</x:v>
      </x:c>
      <x:c r="H97" s="8" t="str">
        <x:v>Провод</x:v>
      </x:c>
      <x:c r="I97" s="8" t="str"/>
      <x:c r="J97" s="9"/>
    </x:row>
    <x:row r="98" ht="31" hidden="0" customHeight="1">
      <x:c r="A98" s="8" t="n">
        <x:v>94</x:v>
      </x:c>
      <x:c r="B98" s="8" t="str">
        <x:v>4</x:v>
      </x:c>
      <x:c r="C98" s="8" t="str">
        <x:v>XT2:4</x:v>
      </x:c>
      <x:c r="D98" s="8" t="str">
        <x:v>XT2:7</x:v>
      </x:c>
      <x:c r="E98" s="8" t="str">
        <x:v>0,75 мм²</x:v>
      </x:c>
      <x:c r="F98" s="8" t="str">
        <x:v>красный</x:v>
      </x:c>
      <x:c r="G98" s="8" t="str">
        <x:v>ШС1</x:v>
      </x:c>
      <x:c r="H98" s="8" t="str">
        <x:v>Провод</x:v>
      </x:c>
      <x:c r="I98" s="8" t="str"/>
      <x:c r="J98" s="9"/>
    </x:row>
    <x:row r="99" ht="31" hidden="0" customHeight="1">
      <x:c r="A99" s="8" t="n">
        <x:v>95</x:v>
      </x:c>
      <x:c r="B99" s="8" t="str">
        <x:v>4</x:v>
      </x:c>
      <x:c r="C99" s="8" t="str">
        <x:v>XT2:7</x:v>
      </x:c>
      <x:c r="D99" s="8" t="str">
        <x:v>XT2:10</x:v>
      </x:c>
      <x:c r="E99" s="8" t="str">
        <x:v>0,75 мм²</x:v>
      </x:c>
      <x:c r="F99" s="8" t="str">
        <x:v>красный</x:v>
      </x:c>
      <x:c r="G99" s="8" t="str">
        <x:v>ШС1</x:v>
      </x:c>
      <x:c r="H99" s="8" t="str">
        <x:v>Провод</x:v>
      </x:c>
      <x:c r="I99" s="8" t="str"/>
      <x:c r="J99" s="9"/>
    </x:row>
    <x:row r="100" ht="31" hidden="0" customHeight="1">
      <x:c r="A100" s="8" t="n">
        <x:v>96</x:v>
      </x:c>
      <x:c r="B100" s="8" t="str">
        <x:v>4</x:v>
      </x:c>
      <x:c r="C100" s="8" t="str">
        <x:v>XT2:10</x:v>
      </x:c>
      <x:c r="D100" s="8" t="str">
        <x:v>XT2:13</x:v>
      </x:c>
      <x:c r="E100" s="8" t="str">
        <x:v>0,75 мм²</x:v>
      </x:c>
      <x:c r="F100" s="8" t="str">
        <x:v>красный</x:v>
      </x:c>
      <x:c r="G100" s="8" t="str">
        <x:v>ШС1</x:v>
      </x:c>
      <x:c r="H100" s="8" t="str">
        <x:v>Провод</x:v>
      </x:c>
      <x:c r="I100" s="8" t="str"/>
      <x:c r="J100" s="9"/>
    </x:row>
    <x:row r="101" ht="31" hidden="0" customHeight="1">
      <x:c r="A101" s="8" t="n">
        <x:v>97</x:v>
      </x:c>
      <x:c r="B101" s="8" t="str">
        <x:v>4</x:v>
      </x:c>
      <x:c r="C101" s="8" t="str">
        <x:v>XT2:13</x:v>
      </x:c>
      <x:c r="D101" s="8" t="str">
        <x:v>XT2:16</x:v>
      </x:c>
      <x:c r="E101" s="8" t="str">
        <x:v>0,75 мм²</x:v>
      </x:c>
      <x:c r="F101" s="8" t="str">
        <x:v>красный</x:v>
      </x:c>
      <x:c r="G101" s="8" t="str">
        <x:v>ШС1</x:v>
      </x:c>
      <x:c r="H101" s="8" t="str">
        <x:v>Провод</x:v>
      </x:c>
      <x:c r="I101" s="8" t="str"/>
      <x:c r="J101" s="9"/>
    </x:row>
    <x:row r="102" ht="31" hidden="0" customHeight="1">
      <x:c r="A102" s="8" t="n">
        <x:v>98</x:v>
      </x:c>
      <x:c r="B102" s="8" t="str">
        <x:v>4</x:v>
      </x:c>
      <x:c r="C102" s="8" t="str">
        <x:v>XT2:16</x:v>
      </x:c>
      <x:c r="D102" s="8" t="str">
        <x:v>XT2:19</x:v>
      </x:c>
      <x:c r="E102" s="8" t="str">
        <x:v>0,75 мм²</x:v>
      </x:c>
      <x:c r="F102" s="8" t="str">
        <x:v>красный</x:v>
      </x:c>
      <x:c r="G102" s="8" t="str">
        <x:v>ШС1</x:v>
      </x:c>
      <x:c r="H102" s="8" t="str">
        <x:v>Провод</x:v>
      </x:c>
      <x:c r="I102" s="8" t="str"/>
      <x:c r="J102" s="9"/>
    </x:row>
    <x:row r="103" ht="31" hidden="0" customHeight="1">
      <x:c r="A103" s="8" t="n">
        <x:v>99</x:v>
      </x:c>
      <x:c r="B103" s="8" t="str">
        <x:v>4</x:v>
      </x:c>
      <x:c r="C103" s="8" t="str">
        <x:v>XT2:19</x:v>
      </x:c>
      <x:c r="D103" s="8" t="str">
        <x:v>XT2:22</x:v>
      </x:c>
      <x:c r="E103" s="8" t="str">
        <x:v>0,75 мм²</x:v>
      </x:c>
      <x:c r="F103" s="8" t="str">
        <x:v>красный</x:v>
      </x:c>
      <x:c r="G103" s="8" t="str">
        <x:v>ШС1</x:v>
      </x:c>
      <x:c r="H103" s="8" t="str">
        <x:v>Провод</x:v>
      </x:c>
      <x:c r="I103" s="8" t="str"/>
      <x:c r="J103" s="9"/>
    </x:row>
    <x:row r="104" ht="31" hidden="0" customHeight="1">
      <x:c r="A104" s="8" t="n">
        <x:v>100</x:v>
      </x:c>
      <x:c r="B104" s="8" t="str">
        <x:v>4</x:v>
      </x:c>
      <x:c r="C104" s="8" t="str">
        <x:v>XT2:22</x:v>
      </x:c>
      <x:c r="D104" s="8" t="str">
        <x:v>XT2:24</x:v>
      </x:c>
      <x:c r="E104" s="8" t="str">
        <x:v>0,75 мм²</x:v>
      </x:c>
      <x:c r="F104" s="8" t="str">
        <x:v>красный</x:v>
      </x:c>
      <x:c r="G104" s="8" t="str">
        <x:v>ШС1</x:v>
      </x:c>
      <x:c r="H104" s="8" t="str">
        <x:v>Провод</x:v>
      </x:c>
      <x:c r="I104" s="8" t="str"/>
      <x:c r="J104" s="9"/>
    </x:row>
    <x:row r="105" ht="31" hidden="0" customHeight="1">
      <x:c r="A105" s="8" t="n">
        <x:v>101</x:v>
      </x:c>
      <x:c r="B105" s="8" t="str">
        <x:v>4</x:v>
      </x:c>
      <x:c r="C105" s="8" t="str">
        <x:v>XT2:24</x:v>
      </x:c>
      <x:c r="D105" s="8" t="str">
        <x:v>XT2:26</x:v>
      </x:c>
      <x:c r="E105" s="8" t="str">
        <x:v>0,75 мм²</x:v>
      </x:c>
      <x:c r="F105" s="8" t="str">
        <x:v>красный</x:v>
      </x:c>
      <x:c r="G105" s="8" t="str">
        <x:v>ШС1</x:v>
      </x:c>
      <x:c r="H105" s="8" t="str">
        <x:v>Провод</x:v>
      </x:c>
      <x:c r="I105" s="8" t="str"/>
      <x:c r="J105" s="9"/>
    </x:row>
    <x:row r="106" ht="31" hidden="0" customHeight="1">
      <x:c r="A106" s="8" t="n">
        <x:v>102</x:v>
      </x:c>
      <x:c r="B106" s="8" t="str">
        <x:v>4</x:v>
      </x:c>
      <x:c r="C106" s="8" t="str">
        <x:v>XT2:26</x:v>
      </x:c>
      <x:c r="D106" s="8" t="str">
        <x:v>XT2:28</x:v>
      </x:c>
      <x:c r="E106" s="8" t="str">
        <x:v>0,75 мм²</x:v>
      </x:c>
      <x:c r="F106" s="8" t="str">
        <x:v>красный</x:v>
      </x:c>
      <x:c r="G106" s="8" t="str">
        <x:v>ШС1</x:v>
      </x:c>
      <x:c r="H106" s="8" t="str">
        <x:v>Провод</x:v>
      </x:c>
      <x:c r="I106" s="8" t="str"/>
      <x:c r="J106" s="9"/>
    </x:row>
    <x:row r="107" ht="31" hidden="0" customHeight="1">
      <x:c r="A107" s="8" t="n">
        <x:v>103</x:v>
      </x:c>
      <x:c r="B107" s="8" t="str">
        <x:v>5</x:v>
      </x:c>
      <x:c r="C107" s="8" t="str">
        <x:v>FU3:2</x:v>
      </x:c>
      <x:c r="D107" s="8" t="str">
        <x:v>XT4:1</x:v>
      </x:c>
      <x:c r="E107" s="8" t="str">
        <x:v>0,75 мм²</x:v>
      </x:c>
      <x:c r="F107" s="8" t="str">
        <x:v>красный</x:v>
      </x:c>
      <x:c r="G107" s="8" t="str">
        <x:v>ШС1</x:v>
      </x:c>
      <x:c r="H107" s="8" t="str">
        <x:v>Провод</x:v>
      </x:c>
      <x:c r="I107" s="8" t="str"/>
      <x:c r="J107" s="9"/>
    </x:row>
    <x:row r="108" ht="31" hidden="0" customHeight="1">
      <x:c r="A108" s="8" t="n">
        <x:v>104</x:v>
      </x:c>
      <x:c r="B108" s="8" t="str">
        <x:v>5</x:v>
      </x:c>
      <x:c r="C108" s="8" t="str">
        <x:v>XT4:1</x:v>
      </x:c>
      <x:c r="D108" s="8" t="str">
        <x:v>A3:24V</x:v>
      </x:c>
      <x:c r="E108" s="8" t="str">
        <x:v>24 AWG</x:v>
      </x:c>
      <x:c r="F108" s="8" t="str">
        <x:v>белый¹</x:v>
      </x:c>
      <x:c r="G108" s="8" t="str">
        <x:v>ШС1</x:v>
      </x:c>
      <x:c r="H108" s="8" t="str">
        <x:v>Провод</x:v>
      </x:c>
      <x:c r="I108" s="8" t="str">
        <x:v>24 AWG, белый; функциональные обозначения на концах. Неподвижно.</x:v>
      </x:c>
      <x:c r="J108" s="9"/>
    </x:row>
    <x:row r="109" ht="31" hidden="0" customHeight="1">
      <x:c r="A109" s="8" t="n">
        <x:v>105</x:v>
      </x:c>
      <x:c r="B109" s="8" t="str">
        <x:v>6</x:v>
      </x:c>
      <x:c r="C109" s="8" t="str">
        <x:v>FU4:2</x:v>
      </x:c>
      <x:c r="D109" s="8" t="str">
        <x:v>FU7:1</x:v>
      </x:c>
      <x:c r="E109" s="8" t="str">
        <x:v>0,75 мм²</x:v>
      </x:c>
      <x:c r="F109" s="8" t="str">
        <x:v>красный</x:v>
      </x:c>
      <x:c r="G109" s="8" t="str">
        <x:v>ШС1</x:v>
      </x:c>
      <x:c r="H109" s="8" t="str">
        <x:v>Провод</x:v>
      </x:c>
      <x:c r="I109" s="8" t="str"/>
      <x:c r="J109" s="9"/>
    </x:row>
    <x:row r="110" ht="31" hidden="0" customHeight="1">
      <x:c r="A110" s="8" t="n">
        <x:v>106</x:v>
      </x:c>
      <x:c r="B110" s="8" t="str">
        <x:v>6</x:v>
      </x:c>
      <x:c r="C110" s="8" t="str">
        <x:v>FU7:1</x:v>
      </x:c>
      <x:c r="D110" s="8" t="str">
        <x:v>FU8:1</x:v>
      </x:c>
      <x:c r="E110" s="8" t="str">
        <x:v>0,75 мм²</x:v>
      </x:c>
      <x:c r="F110" s="8" t="str">
        <x:v>красный</x:v>
      </x:c>
      <x:c r="G110" s="8" t="str">
        <x:v>ШС1</x:v>
      </x:c>
      <x:c r="H110" s="8" t="str">
        <x:v>Провод</x:v>
      </x:c>
      <x:c r="I110" s="8" t="str"/>
      <x:c r="J110" s="9"/>
    </x:row>
    <x:row r="111" ht="31" hidden="0" customHeight="1">
      <x:c r="A111" s="8" t="n">
        <x:v>107</x:v>
      </x:c>
      <x:c r="B111" s="8" t="str">
        <x:v>6</x:v>
      </x:c>
      <x:c r="C111" s="8" t="str">
        <x:v>FU8:1</x:v>
      </x:c>
      <x:c r="D111" s="8" t="str">
        <x:v>KSR1:A1</x:v>
      </x:c>
      <x:c r="E111" s="8" t="str">
        <x:v>0,75 мм²</x:v>
      </x:c>
      <x:c r="F111" s="8" t="str">
        <x:v>красный</x:v>
      </x:c>
      <x:c r="G111" s="8" t="str">
        <x:v>ШС1</x:v>
      </x:c>
      <x:c r="H111" s="8" t="str">
        <x:v>Провод</x:v>
      </x:c>
      <x:c r="I111" s="8" t="str"/>
      <x:c r="J111" s="9"/>
    </x:row>
    <x:row r="112" ht="31" hidden="0" customHeight="1">
      <x:c r="A112" s="8" t="n">
        <x:v>108</x:v>
      </x:c>
      <x:c r="B112" s="8" t="str">
        <x:v>6</x:v>
      </x:c>
      <x:c r="C112" s="8" t="str">
        <x:v>KSR1:A1</x:v>
      </x:c>
      <x:c r="D112" s="8" t="str">
        <x:v>KSR1:T33</x:v>
      </x:c>
      <x:c r="E112" s="8" t="str">
        <x:v>0,75 мм²</x:v>
      </x:c>
      <x:c r="F112" s="8" t="str">
        <x:v>красный</x:v>
      </x:c>
      <x:c r="G112" s="8" t="str">
        <x:v>ШС1</x:v>
      </x:c>
      <x:c r="H112" s="8" t="str">
        <x:v>Провод</x:v>
      </x:c>
      <x:c r="I112" s="8" t="str"/>
      <x:c r="J112" s="9"/>
    </x:row>
    <x:row r="113" ht="31" hidden="0" customHeight="1">
      <x:c r="A113" s="8" t="n">
        <x:v>109</x:v>
      </x:c>
      <x:c r="B113" s="8" t="str">
        <x:v>6</x:v>
      </x:c>
      <x:c r="C113" s="8" t="str">
        <x:v>KSR1:T33</x:v>
      </x:c>
      <x:c r="D113" s="8" t="str">
        <x:v>XT9:1</x:v>
      </x:c>
      <x:c r="E113" s="8" t="str">
        <x:v>0,75 мм²</x:v>
      </x:c>
      <x:c r="F113" s="8" t="str">
        <x:v>красный</x:v>
      </x:c>
      <x:c r="G113" s="8" t="str">
        <x:v>ШС1</x:v>
      </x:c>
      <x:c r="H113" s="8" t="str">
        <x:v>Провод</x:v>
      </x:c>
      <x:c r="I113" s="8" t="str"/>
      <x:c r="J113" s="9"/>
    </x:row>
    <x:row r="114" ht="31" hidden="0" customHeight="1">
      <x:c r="A114" s="8" t="n">
        <x:v>110</x:v>
      </x:c>
      <x:c r="B114" s="8" t="str">
        <x:v>7</x:v>
      </x:c>
      <x:c r="C114" s="8" t="str">
        <x:v>FU5:2</x:v>
      </x:c>
      <x:c r="D114" s="8" t="str">
        <x:v>FU9:1</x:v>
      </x:c>
      <x:c r="E114" s="8" t="str">
        <x:v>2,5 мм²</x:v>
      </x:c>
      <x:c r="F114" s="8" t="str">
        <x:v>красный</x:v>
      </x:c>
      <x:c r="G114" s="8" t="str">
        <x:v>ШС1</x:v>
      </x:c>
      <x:c r="H114" s="8" t="str">
        <x:v>Провод</x:v>
      </x:c>
      <x:c r="I114" s="8" t="str"/>
      <x:c r="J114" s="9"/>
    </x:row>
    <x:row r="115" ht="31" hidden="0" customHeight="1">
      <x:c r="A115" s="8" t="n">
        <x:v>111</x:v>
      </x:c>
      <x:c r="B115" s="8" t="str">
        <x:v>7</x:v>
      </x:c>
      <x:c r="C115" s="8" t="str">
        <x:v>FU9:1</x:v>
      </x:c>
      <x:c r="D115" s="8" t="str">
        <x:v>FU10:1</x:v>
      </x:c>
      <x:c r="E115" s="8" t="str">
        <x:v>2,5 мм²</x:v>
      </x:c>
      <x:c r="F115" s="8" t="str">
        <x:v>красный</x:v>
      </x:c>
      <x:c r="G115" s="8" t="str">
        <x:v>ШС1</x:v>
      </x:c>
      <x:c r="H115" s="8" t="str">
        <x:v>Провод</x:v>
      </x:c>
      <x:c r="I115" s="8" t="str"/>
      <x:c r="J115" s="9"/>
    </x:row>
    <x:row r="116" ht="31" hidden="0" customHeight="1">
      <x:c r="A116" s="8" t="n">
        <x:v>112</x:v>
      </x:c>
      <x:c r="B116" s="8" t="str">
        <x:v>8</x:v>
      </x:c>
      <x:c r="C116" s="8" t="str">
        <x:v>FU6:2</x:v>
      </x:c>
      <x:c r="D116" s="8" t="str">
        <x:v>XT8:1</x:v>
      </x:c>
      <x:c r="E116" s="8" t="str">
        <x:v>2,5 мм²</x:v>
      </x:c>
      <x:c r="F116" s="8" t="str">
        <x:v>красный</x:v>
      </x:c>
      <x:c r="G116" s="8" t="str">
        <x:v>ШС1</x:v>
      </x:c>
      <x:c r="H116" s="8" t="str">
        <x:v>Провод</x:v>
      </x:c>
      <x:c r="I116" s="8" t="str"/>
      <x:c r="J116" s="9"/>
    </x:row>
    <x:row r="117" ht="31" hidden="0" customHeight="1">
      <x:c r="A117" s="8" t="n">
        <x:v>113</x:v>
      </x:c>
      <x:c r="B117" s="8" t="str">
        <x:v>9</x:v>
      </x:c>
      <x:c r="C117" s="8" t="str">
        <x:v>K2:11</x:v>
      </x:c>
      <x:c r="D117" s="8" t="str">
        <x:v>K3:11</x:v>
      </x:c>
      <x:c r="E117" s="8" t="str">
        <x:v>2,5 мм²</x:v>
      </x:c>
      <x:c r="F117" s="8" t="str">
        <x:v>красный</x:v>
      </x:c>
      <x:c r="G117" s="8" t="str">
        <x:v>ШС1</x:v>
      </x:c>
      <x:c r="H117" s="8" t="str">
        <x:v>Провод</x:v>
      </x:c>
      <x:c r="I117" s="8" t="str"/>
      <x:c r="J117" s="9"/>
    </x:row>
    <x:row r="118" ht="31" hidden="0" customHeight="1">
      <x:c r="A118" s="8" t="n">
        <x:v>114</x:v>
      </x:c>
      <x:c r="B118" s="8" t="str">
        <x:v>9</x:v>
      </x:c>
      <x:c r="C118" s="8" t="str">
        <x:v>K3:11</x:v>
      </x:c>
      <x:c r="D118" s="8" t="str">
        <x:v>K4:11</x:v>
      </x:c>
      <x:c r="E118" s="8" t="str">
        <x:v>2,5 мм²</x:v>
      </x:c>
      <x:c r="F118" s="8" t="str">
        <x:v>красный</x:v>
      </x:c>
      <x:c r="G118" s="8" t="str">
        <x:v>ШС1</x:v>
      </x:c>
      <x:c r="H118" s="8" t="str">
        <x:v>Провод</x:v>
      </x:c>
      <x:c r="I118" s="8" t="str"/>
      <x:c r="J118" s="9"/>
    </x:row>
    <x:row r="119" ht="31" hidden="0" customHeight="1">
      <x:c r="A119" s="8" t="n">
        <x:v>115</x:v>
      </x:c>
      <x:c r="B119" s="8" t="str">
        <x:v>9</x:v>
      </x:c>
      <x:c r="C119" s="8" t="str">
        <x:v>K4:11</x:v>
      </x:c>
      <x:c r="D119" s="8" t="str">
        <x:v>K5:11</x:v>
      </x:c>
      <x:c r="E119" s="8" t="str">
        <x:v>2,5 мм²</x:v>
      </x:c>
      <x:c r="F119" s="8" t="str">
        <x:v>красный</x:v>
      </x:c>
      <x:c r="G119" s="8" t="str">
        <x:v>ШС1</x:v>
      </x:c>
      <x:c r="H119" s="8" t="str">
        <x:v>Провод</x:v>
      </x:c>
      <x:c r="I119" s="8" t="str"/>
      <x:c r="J119" s="9"/>
    </x:row>
    <x:row r="120" ht="31" hidden="0" customHeight="1">
      <x:c r="A120" s="8" t="n">
        <x:v>116</x:v>
      </x:c>
      <x:c r="B120" s="8" t="str">
        <x:v>9</x:v>
      </x:c>
      <x:c r="C120" s="8" t="str">
        <x:v>K5:11</x:v>
      </x:c>
      <x:c r="D120" s="8" t="str">
        <x:v>K6:11</x:v>
      </x:c>
      <x:c r="E120" s="8" t="str">
        <x:v>2,5 мм²</x:v>
      </x:c>
      <x:c r="F120" s="8" t="str">
        <x:v>красный</x:v>
      </x:c>
      <x:c r="G120" s="8" t="str">
        <x:v>ШС1</x:v>
      </x:c>
      <x:c r="H120" s="8" t="str">
        <x:v>Провод</x:v>
      </x:c>
      <x:c r="I120" s="8" t="str"/>
      <x:c r="J120" s="9"/>
    </x:row>
    <x:row r="121" ht="31" hidden="0" customHeight="1">
      <x:c r="A121" s="8" t="n">
        <x:v>117</x:v>
      </x:c>
      <x:c r="B121" s="8" t="str">
        <x:v>9</x:v>
      </x:c>
      <x:c r="C121" s="8" t="str">
        <x:v>K6:11</x:v>
      </x:c>
      <x:c r="D121" s="8" t="str">
        <x:v>K7:11</x:v>
      </x:c>
      <x:c r="E121" s="8" t="str">
        <x:v>2,5 мм²</x:v>
      </x:c>
      <x:c r="F121" s="8" t="str">
        <x:v>красный</x:v>
      </x:c>
      <x:c r="G121" s="8" t="str">
        <x:v>ШС1</x:v>
      </x:c>
      <x:c r="H121" s="8" t="str">
        <x:v>Провод</x:v>
      </x:c>
      <x:c r="I121" s="8" t="str"/>
      <x:c r="J121" s="9"/>
    </x:row>
    <x:row r="122" ht="31" hidden="0" customHeight="1">
      <x:c r="A122" s="8" t="n">
        <x:v>118</x:v>
      </x:c>
      <x:c r="B122" s="8" t="str">
        <x:v>9</x:v>
      </x:c>
      <x:c r="C122" s="8" t="str">
        <x:v>KSR1:34</x:v>
      </x:c>
      <x:c r="D122" s="8" t="str">
        <x:v>K2:11</x:v>
      </x:c>
      <x:c r="E122" s="8" t="str">
        <x:v>0,75 мм²</x:v>
      </x:c>
      <x:c r="F122" s="8" t="str">
        <x:v>красный</x:v>
      </x:c>
      <x:c r="G122" s="8" t="str">
        <x:v>ШС1</x:v>
      </x:c>
      <x:c r="H122" s="8" t="str">
        <x:v>Провод</x:v>
      </x:c>
      <x:c r="I122" s="8" t="str">
        <x:v>У KSR1 провод 0,75 мм²: диапазон его зажимов 0,25–1,5 мм².</x:v>
      </x:c>
      <x:c r="J122" s="9"/>
    </x:row>
    <x:row r="123" ht="31" hidden="0" customHeight="1">
      <x:c r="A123" s="8" t="n">
        <x:v>119</x:v>
      </x:c>
      <x:c r="B123" s="8" t="str">
        <x:v>13</x:v>
      </x:c>
      <x:c r="C123" s="8" t="str">
        <x:v>KSR1:T22</x:v>
      </x:c>
      <x:c r="D123" s="8" t="str">
        <x:v>XT9:2</x:v>
      </x:c>
      <x:c r="E123" s="8" t="str">
        <x:v>0,75 мм²</x:v>
      </x:c>
      <x:c r="F123" s="8" t="str">
        <x:v>красный</x:v>
      </x:c>
      <x:c r="G123" s="8" t="str">
        <x:v>ШС1</x:v>
      </x:c>
      <x:c r="H123" s="8" t="str">
        <x:v>Провод</x:v>
      </x:c>
      <x:c r="I123" s="8" t="str"/>
      <x:c r="J123" s="9"/>
    </x:row>
    <x:row r="124" ht="31" hidden="0" customHeight="1">
      <x:c r="A124" s="8" t="n">
        <x:v>120</x:v>
      </x:c>
      <x:c r="B124" s="8" t="str">
        <x:v>13</x:v>
      </x:c>
      <x:c r="C124" s="8" t="str">
        <x:v>XT9:2</x:v>
      </x:c>
      <x:c r="D124" s="8" t="str">
        <x:v>KSR1:T12</x:v>
      </x:c>
      <x:c r="E124" s="8" t="str">
        <x:v>0,75 мм²</x:v>
      </x:c>
      <x:c r="F124" s="8" t="str">
        <x:v>красный</x:v>
      </x:c>
      <x:c r="G124" s="8" t="str">
        <x:v>ШС1</x:v>
      </x:c>
      <x:c r="H124" s="8" t="str">
        <x:v>Провод</x:v>
      </x:c>
      <x:c r="I124" s="8" t="str"/>
      <x:c r="J124" s="9"/>
    </x:row>
    <x:row r="125" ht="31" hidden="0" customHeight="1">
      <x:c r="A125" s="8" t="n">
        <x:v>121</x:v>
      </x:c>
      <x:c r="B125" s="8" t="str">
        <x:v>14</x:v>
      </x:c>
      <x:c r="C125" s="8" t="str">
        <x:v>K1:21</x:v>
      </x:c>
      <x:c r="D125" s="8" t="str">
        <x:v>K15:14</x:v>
      </x:c>
      <x:c r="E125" s="8" t="str">
        <x:v>0,75 мм²</x:v>
      </x:c>
      <x:c r="F125" s="8" t="str">
        <x:v>красный</x:v>
      </x:c>
      <x:c r="G125" s="8" t="str">
        <x:v>ШС1</x:v>
      </x:c>
      <x:c r="H125" s="8" t="str">
        <x:v>Провод</x:v>
      </x:c>
      <x:c r="I125" s="8" t="str"/>
      <x:c r="J125" s="9"/>
    </x:row>
    <x:row r="126" ht="31" hidden="0" customHeight="1">
      <x:c r="A126" s="8" t="n">
        <x:v>122</x:v>
      </x:c>
      <x:c r="B126" s="8" t="str">
        <x:v>15</x:v>
      </x:c>
      <x:c r="C126" s="8" t="str">
        <x:v>K1:22</x:v>
      </x:c>
      <x:c r="D126" s="8" t="str">
        <x:v>KSR1:T32</x:v>
      </x:c>
      <x:c r="E126" s="8" t="str">
        <x:v>0,75 мм²</x:v>
      </x:c>
      <x:c r="F126" s="8" t="str">
        <x:v>красный</x:v>
      </x:c>
      <x:c r="G126" s="8" t="str">
        <x:v>ШС1</x:v>
      </x:c>
      <x:c r="H126" s="8" t="str">
        <x:v>Провод</x:v>
      </x:c>
      <x:c r="I126" s="8" t="str"/>
      <x:c r="J126" s="9"/>
    </x:row>
    <x:row r="127" ht="31" hidden="0" customHeight="1">
      <x:c r="A127" s="8" t="n">
        <x:v>123</x:v>
      </x:c>
      <x:c r="B127" s="8" t="str">
        <x:v>16</x:v>
      </x:c>
      <x:c r="C127" s="8" t="str">
        <x:v>K15:11</x:v>
      </x:c>
      <x:c r="D127" s="8" t="str">
        <x:v>KSR1:T31</x:v>
      </x:c>
      <x:c r="E127" s="8" t="str">
        <x:v>0,75 мм²</x:v>
      </x:c>
      <x:c r="F127" s="8" t="str">
        <x:v>красный</x:v>
      </x:c>
      <x:c r="G127" s="8" t="str">
        <x:v>ШС1</x:v>
      </x:c>
      <x:c r="H127" s="8" t="str">
        <x:v>Провод</x:v>
      </x:c>
      <x:c r="I127" s="8" t="str"/>
      <x:c r="J127" s="9"/>
    </x:row>
    <x:row r="128" ht="31" hidden="0" customHeight="1">
      <x:c r="A128" s="8" t="n">
        <x:v>124</x:v>
      </x:c>
      <x:c r="B128" s="8" t="str">
        <x:v>17</x:v>
      </x:c>
      <x:c r="C128" s="8" t="str">
        <x:v>KSR1:14</x:v>
      </x:c>
      <x:c r="D128" s="8" t="str">
        <x:v>UZ1:S1</x:v>
      </x:c>
      <x:c r="E128" s="8" t="str">
        <x:v>0,75 мм²</x:v>
      </x:c>
      <x:c r="F128" s="8" t="str">
        <x:v>красный</x:v>
      </x:c>
      <x:c r="G128" s="8" t="str">
        <x:v>ШС1</x:v>
      </x:c>
      <x:c r="H128" s="8" t="str">
        <x:v>Провод</x:v>
      </x:c>
      <x:c r="I128" s="8" t="str"/>
      <x:c r="J128" s="9"/>
    </x:row>
    <x:row r="129" ht="31" hidden="0" customHeight="1">
      <x:c r="A129" s="8" t="n">
        <x:v>125</x:v>
      </x:c>
      <x:c r="B129" s="8" t="str">
        <x:v>18</x:v>
      </x:c>
      <x:c r="C129" s="8" t="str">
        <x:v>KSR1:24</x:v>
      </x:c>
      <x:c r="D129" s="8" t="str">
        <x:v>UZ1:S2</x:v>
      </x:c>
      <x:c r="E129" s="8" t="str">
        <x:v>0,75 мм²</x:v>
      </x:c>
      <x:c r="F129" s="8" t="str">
        <x:v>красный</x:v>
      </x:c>
      <x:c r="G129" s="8" t="str">
        <x:v>ШС1</x:v>
      </x:c>
      <x:c r="H129" s="8" t="str">
        <x:v>Провод</x:v>
      </x:c>
      <x:c r="I129" s="8" t="str"/>
      <x:c r="J129" s="9"/>
    </x:row>
    <x:row r="130" ht="31" hidden="0" customHeight="1">
      <x:c r="A130" s="8" t="n">
        <x:v>126</x:v>
      </x:c>
      <x:c r="B130" s="8" t="str">
        <x:v>19</x:v>
      </x:c>
      <x:c r="C130" s="8" t="str">
        <x:v>KM1:A1</x:v>
      </x:c>
      <x:c r="D130" s="8" t="str">
        <x:v>KSR1:44</x:v>
      </x:c>
      <x:c r="E130" s="8" t="str">
        <x:v>0,75 мм²</x:v>
      </x:c>
      <x:c r="F130" s="8" t="str">
        <x:v>красный</x:v>
      </x:c>
      <x:c r="G130" s="8" t="str">
        <x:v>ШС1</x:v>
      </x:c>
      <x:c r="H130" s="8" t="str">
        <x:v>Провод</x:v>
      </x:c>
      <x:c r="I130" s="8" t="str">
        <x:v>У KSR1 провод 0,75 мм²: диапазон его зажимов 0,25–1,5 мм².</x:v>
      </x:c>
      <x:c r="J130" s="9"/>
    </x:row>
    <x:row r="131" ht="31" hidden="0" customHeight="1">
      <x:c r="A131" s="8" t="n">
        <x:v>127</x:v>
      </x:c>
      <x:c r="B131" s="8" t="str">
        <x:v>20</x:v>
      </x:c>
      <x:c r="C131" s="8" t="str">
        <x:v>A1:X0</x:v>
      </x:c>
      <x:c r="D131" s="8" t="str">
        <x:v>XT9:3</x:v>
      </x:c>
      <x:c r="E131" s="8" t="str">
        <x:v>0,75 мм²</x:v>
      </x:c>
      <x:c r="F131" s="8" t="str">
        <x:v>красный</x:v>
      </x:c>
      <x:c r="G131" s="8" t="str">
        <x:v>ШС1</x:v>
      </x:c>
      <x:c r="H131" s="8" t="str">
        <x:v>Провод</x:v>
      </x:c>
      <x:c r="I131" s="8" t="str"/>
      <x:c r="J131" s="9"/>
    </x:row>
    <x:row r="132" ht="31" hidden="0" customHeight="1">
      <x:c r="A132" s="8" t="n">
        <x:v>128</x:v>
      </x:c>
      <x:c r="B132" s="8" t="str">
        <x:v>21</x:v>
      </x:c>
      <x:c r="C132" s="8" t="str">
        <x:v>A1:X1</x:v>
      </x:c>
      <x:c r="D132" s="8" t="str">
        <x:v>XT9:4</x:v>
      </x:c>
      <x:c r="E132" s="8" t="str">
        <x:v>0,75 мм²</x:v>
      </x:c>
      <x:c r="F132" s="8" t="str">
        <x:v>красный</x:v>
      </x:c>
      <x:c r="G132" s="8" t="str">
        <x:v>ШС1</x:v>
      </x:c>
      <x:c r="H132" s="8" t="str">
        <x:v>Провод</x:v>
      </x:c>
      <x:c r="I132" s="8" t="str"/>
      <x:c r="J132" s="9"/>
    </x:row>
    <x:row r="133" ht="31" hidden="0" customHeight="1">
      <x:c r="A133" s="8" t="n">
        <x:v>129</x:v>
      </x:c>
      <x:c r="B133" s="8" t="str">
        <x:v>22</x:v>
      </x:c>
      <x:c r="C133" s="8" t="str">
        <x:v>XT9:5</x:v>
      </x:c>
      <x:c r="D133" s="8" t="str">
        <x:v>A1:X2</x:v>
      </x:c>
      <x:c r="E133" s="8" t="str">
        <x:v>0,75 мм²</x:v>
      </x:c>
      <x:c r="F133" s="8" t="str">
        <x:v>красный</x:v>
      </x:c>
      <x:c r="G133" s="8" t="str">
        <x:v>ШС1</x:v>
      </x:c>
      <x:c r="H133" s="8" t="str">
        <x:v>Провод</x:v>
      </x:c>
      <x:c r="I133" s="8" t="str"/>
      <x:c r="J133" s="9"/>
    </x:row>
    <x:row r="134" ht="31" hidden="0" customHeight="1">
      <x:c r="A134" s="8" t="n">
        <x:v>130</x:v>
      </x:c>
      <x:c r="B134" s="8" t="str">
        <x:v>22</x:v>
      </x:c>
      <x:c r="C134" s="8" t="str">
        <x:v>XT9:5</x:v>
      </x:c>
      <x:c r="D134" s="8" t="str">
        <x:v>K15:A1</x:v>
      </x:c>
      <x:c r="E134" s="8" t="str">
        <x:v>0,75 мм²</x:v>
      </x:c>
      <x:c r="F134" s="8" t="str">
        <x:v>красный</x:v>
      </x:c>
      <x:c r="G134" s="8" t="str">
        <x:v>ШС1</x:v>
      </x:c>
      <x:c r="H134" s="8" t="str">
        <x:v>Провод</x:v>
      </x:c>
      <x:c r="I134" s="8" t="str"/>
      <x:c r="J134" s="9"/>
    </x:row>
    <x:row r="135" ht="31" hidden="0" customHeight="1">
      <x:c r="A135" s="8" t="n">
        <x:v>131</x:v>
      </x:c>
      <x:c r="B135" s="8" t="str">
        <x:v>23</x:v>
      </x:c>
      <x:c r="C135" s="8" t="str">
        <x:v>A1:X3</x:v>
      </x:c>
      <x:c r="D135" s="8" t="str">
        <x:v>XT9:6</x:v>
      </x:c>
      <x:c r="E135" s="8" t="str">
        <x:v>0,75 мм²</x:v>
      </x:c>
      <x:c r="F135" s="8" t="str">
        <x:v>красный</x:v>
      </x:c>
      <x:c r="G135" s="8" t="str">
        <x:v>ШС1</x:v>
      </x:c>
      <x:c r="H135" s="8" t="str">
        <x:v>Провод</x:v>
      </x:c>
      <x:c r="I135" s="8" t="str"/>
      <x:c r="J135" s="9"/>
    </x:row>
    <x:row r="136" ht="31" hidden="0" customHeight="1">
      <x:c r="A136" s="8" t="n">
        <x:v>132</x:v>
      </x:c>
      <x:c r="B136" s="8" t="str">
        <x:v>24</x:v>
      </x:c>
      <x:c r="C136" s="8" t="str">
        <x:v>A1:X4</x:v>
      </x:c>
      <x:c r="D136" s="8" t="str">
        <x:v>XT9:7</x:v>
      </x:c>
      <x:c r="E136" s="8" t="str">
        <x:v>0,75 мм²</x:v>
      </x:c>
      <x:c r="F136" s="8" t="str">
        <x:v>красный</x:v>
      </x:c>
      <x:c r="G136" s="8" t="str">
        <x:v>ШС1</x:v>
      </x:c>
      <x:c r="H136" s="8" t="str">
        <x:v>Провод</x:v>
      </x:c>
      <x:c r="I136" s="8" t="str"/>
      <x:c r="J136" s="9"/>
    </x:row>
    <x:row r="137" ht="31" hidden="0" customHeight="1">
      <x:c r="A137" s="8" t="n">
        <x:v>133</x:v>
      </x:c>
      <x:c r="B137" s="8" t="str">
        <x:v>25</x:v>
      </x:c>
      <x:c r="C137" s="8" t="str">
        <x:v>A1:X5</x:v>
      </x:c>
      <x:c r="D137" s="8" t="str">
        <x:v>XT2:3</x:v>
      </x:c>
      <x:c r="E137" s="8" t="str">
        <x:v>0,75 мм²</x:v>
      </x:c>
      <x:c r="F137" s="8" t="str">
        <x:v>красный</x:v>
      </x:c>
      <x:c r="G137" s="8" t="str">
        <x:v>ШС1</x:v>
      </x:c>
      <x:c r="H137" s="8" t="str">
        <x:v>Провод</x:v>
      </x:c>
      <x:c r="I137" s="8" t="str"/>
      <x:c r="J137" s="9"/>
    </x:row>
    <x:row r="138" ht="31" hidden="0" customHeight="1">
      <x:c r="A138" s="8" t="n">
        <x:v>134</x:v>
      </x:c>
      <x:c r="B138" s="8" t="str">
        <x:v>26</x:v>
      </x:c>
      <x:c r="C138" s="8" t="str">
        <x:v>A1:X6</x:v>
      </x:c>
      <x:c r="D138" s="8" t="str">
        <x:v>XT2:5</x:v>
      </x:c>
      <x:c r="E138" s="8" t="str">
        <x:v>0,75 мм²</x:v>
      </x:c>
      <x:c r="F138" s="8" t="str">
        <x:v>красный</x:v>
      </x:c>
      <x:c r="G138" s="8" t="str">
        <x:v>ШС1</x:v>
      </x:c>
      <x:c r="H138" s="8" t="str">
        <x:v>Провод</x:v>
      </x:c>
      <x:c r="I138" s="8" t="str"/>
      <x:c r="J138" s="9"/>
    </x:row>
    <x:row r="139" ht="31" hidden="0" customHeight="1">
      <x:c r="A139" s="8" t="n">
        <x:v>135</x:v>
      </x:c>
      <x:c r="B139" s="8" t="str">
        <x:v>27</x:v>
      </x:c>
      <x:c r="C139" s="8" t="str">
        <x:v>A1:X7</x:v>
      </x:c>
      <x:c r="D139" s="8" t="str">
        <x:v>XT2:8</x:v>
      </x:c>
      <x:c r="E139" s="8" t="str">
        <x:v>0,75 мм²</x:v>
      </x:c>
      <x:c r="F139" s="8" t="str">
        <x:v>красный</x:v>
      </x:c>
      <x:c r="G139" s="8" t="str">
        <x:v>ШС1</x:v>
      </x:c>
      <x:c r="H139" s="8" t="str">
        <x:v>Провод</x:v>
      </x:c>
      <x:c r="I139" s="8" t="str"/>
      <x:c r="J139" s="9"/>
    </x:row>
    <x:row r="140" ht="31" hidden="0" customHeight="1">
      <x:c r="A140" s="8" t="n">
        <x:v>136</x:v>
      </x:c>
      <x:c r="B140" s="8" t="str">
        <x:v>28</x:v>
      </x:c>
      <x:c r="C140" s="8" t="str">
        <x:v>A2:0 [Л03]</x:v>
      </x:c>
      <x:c r="D140" s="8" t="str">
        <x:v>XT2:11</x:v>
      </x:c>
      <x:c r="E140" s="8" t="str">
        <x:v>0,75 мм²</x:v>
      </x:c>
      <x:c r="F140" s="8" t="str">
        <x:v>красный</x:v>
      </x:c>
      <x:c r="G140" s="8" t="str">
        <x:v>ШС1</x:v>
      </x:c>
      <x:c r="H140" s="8" t="str">
        <x:v>Провод</x:v>
      </x:c>
      <x:c r="I140" s="8" t="str"/>
      <x:c r="J140" s="9"/>
    </x:row>
    <x:row r="141" ht="31" hidden="0" customHeight="1">
      <x:c r="A141" s="8" t="n">
        <x:v>137</x:v>
      </x:c>
      <x:c r="B141" s="8" t="str">
        <x:v>29</x:v>
      </x:c>
      <x:c r="C141" s="8" t="str">
        <x:v>A2:1 [П03]</x:v>
      </x:c>
      <x:c r="D141" s="8" t="str">
        <x:v>XT2:14</x:v>
      </x:c>
      <x:c r="E141" s="8" t="str">
        <x:v>0,75 мм²</x:v>
      </x:c>
      <x:c r="F141" s="8" t="str">
        <x:v>красный</x:v>
      </x:c>
      <x:c r="G141" s="8" t="str">
        <x:v>ШС1</x:v>
      </x:c>
      <x:c r="H141" s="8" t="str">
        <x:v>Провод</x:v>
      </x:c>
      <x:c r="I141" s="8" t="str"/>
      <x:c r="J141" s="9"/>
    </x:row>
    <x:row r="142" ht="31" hidden="0" customHeight="1">
      <x:c r="A142" s="8" t="n">
        <x:v>138</x:v>
      </x:c>
      <x:c r="B142" s="8" t="str">
        <x:v>30</x:v>
      </x:c>
      <x:c r="C142" s="8" t="str">
        <x:v>A2:2 [Л04]</x:v>
      </x:c>
      <x:c r="D142" s="8" t="str">
        <x:v>UZ1:RA</x:v>
      </x:c>
      <x:c r="E142" s="8" t="str">
        <x:v>0,75 мм²</x:v>
      </x:c>
      <x:c r="F142" s="8" t="str">
        <x:v>красный</x:v>
      </x:c>
      <x:c r="G142" s="8" t="str">
        <x:v>ШС1</x:v>
      </x:c>
      <x:c r="H142" s="8" t="str">
        <x:v>Провод</x:v>
      </x:c>
      <x:c r="I142" s="8" t="str"/>
      <x:c r="J142" s="9"/>
    </x:row>
    <x:row r="143" ht="31" hidden="0" customHeight="1">
      <x:c r="A143" s="8" t="n">
        <x:v>139</x:v>
      </x:c>
      <x:c r="B143" s="8" t="str">
        <x:v>31</x:v>
      </x:c>
      <x:c r="C143" s="8" t="str">
        <x:v>A2:3 [П04]</x:v>
      </x:c>
      <x:c r="D143" s="8" t="str">
        <x:v>XT2:17</x:v>
      </x:c>
      <x:c r="E143" s="8" t="str">
        <x:v>0,75 мм²</x:v>
      </x:c>
      <x:c r="F143" s="8" t="str">
        <x:v>красный</x:v>
      </x:c>
      <x:c r="G143" s="8" t="str">
        <x:v>ШС1</x:v>
      </x:c>
      <x:c r="H143" s="8" t="str">
        <x:v>Провод</x:v>
      </x:c>
      <x:c r="I143" s="8" t="str"/>
      <x:c r="J143" s="9"/>
    </x:row>
    <x:row r="144" ht="31" hidden="0" customHeight="1">
      <x:c r="A144" s="8" t="n">
        <x:v>140</x:v>
      </x:c>
      <x:c r="B144" s="8" t="str">
        <x:v>32</x:v>
      </x:c>
      <x:c r="C144" s="8" t="str">
        <x:v>A2:4 [Л05]</x:v>
      </x:c>
      <x:c r="D144" s="8" t="str">
        <x:v>XT2:20</x:v>
      </x:c>
      <x:c r="E144" s="8" t="str">
        <x:v>0,75 мм²</x:v>
      </x:c>
      <x:c r="F144" s="8" t="str">
        <x:v>красный</x:v>
      </x:c>
      <x:c r="G144" s="8" t="str">
        <x:v>ШС1</x:v>
      </x:c>
      <x:c r="H144" s="8" t="str">
        <x:v>Провод</x:v>
      </x:c>
      <x:c r="I144" s="8" t="str"/>
      <x:c r="J144" s="9"/>
    </x:row>
    <x:row r="145" ht="31" hidden="0" customHeight="1">
      <x:c r="A145" s="8" t="n">
        <x:v>141</x:v>
      </x:c>
      <x:c r="B145" s="8" t="str">
        <x:v>33</x:v>
      </x:c>
      <x:c r="C145" s="8" t="str">
        <x:v>A2:5 [П05]</x:v>
      </x:c>
      <x:c r="D145" s="8" t="str">
        <x:v>KSR1:X1</x:v>
      </x:c>
      <x:c r="E145" s="8" t="str">
        <x:v>0,75 мм²</x:v>
      </x:c>
      <x:c r="F145" s="8" t="str">
        <x:v>красный</x:v>
      </x:c>
      <x:c r="G145" s="8" t="str">
        <x:v>ШС1</x:v>
      </x:c>
      <x:c r="H145" s="8" t="str">
        <x:v>Провод</x:v>
      </x:c>
      <x:c r="I145" s="8" t="str"/>
      <x:c r="J145" s="9"/>
    </x:row>
    <x:row r="146" ht="31" hidden="0" customHeight="1">
      <x:c r="A146" s="8" t="n">
        <x:v>142</x:v>
      </x:c>
      <x:c r="B146" s="8" t="str">
        <x:v>34</x:v>
      </x:c>
      <x:c r="C146" s="8" t="str">
        <x:v>A2:6 [Л06]</x:v>
      </x:c>
      <x:c r="D146" s="8" t="str">
        <x:v>KV1:14</x:v>
      </x:c>
      <x:c r="E146" s="8" t="str">
        <x:v>0,75 мм²</x:v>
      </x:c>
      <x:c r="F146" s="8" t="str">
        <x:v>красный</x:v>
      </x:c>
      <x:c r="G146" s="8" t="str">
        <x:v>ШС1</x:v>
      </x:c>
      <x:c r="H146" s="8" t="str">
        <x:v>Провод</x:v>
      </x:c>
      <x:c r="I146" s="8" t="str"/>
      <x:c r="J146" s="9"/>
    </x:row>
    <x:row r="147" ht="31" hidden="0" customHeight="1">
      <x:c r="A147" s="8" t="n">
        <x:v>143</x:v>
      </x:c>
      <x:c r="B147" s="8" t="str">
        <x:v>35</x:v>
      </x:c>
      <x:c r="C147" s="8" t="str">
        <x:v>A2:7 [П06]</x:v>
      </x:c>
      <x:c r="D147" s="8" t="str">
        <x:v>SQ1:14</x:v>
      </x:c>
      <x:c r="E147" s="8" t="str">
        <x:v>0,75 мм²</x:v>
      </x:c>
      <x:c r="F147" s="8" t="str">
        <x:v>красный</x:v>
      </x:c>
      <x:c r="G147" s="8" t="str">
        <x:v>ШС1</x:v>
      </x:c>
      <x:c r="H147" s="8" t="str">
        <x:v>Провод</x:v>
      </x:c>
      <x:c r="I147" s="8" t="str"/>
      <x:c r="J147" s="9"/>
    </x:row>
    <x:row r="148" ht="31" hidden="0" customHeight="1">
      <x:c r="A148" s="8" t="n">
        <x:v>144</x:v>
      </x:c>
      <x:c r="B148" s="8" t="str">
        <x:v>36</x:v>
      </x:c>
      <x:c r="C148" s="8" t="str">
        <x:v>A4:0 [Л03]</x:v>
      </x:c>
      <x:c r="D148" s="8" t="str">
        <x:v>XT2:23</x:v>
      </x:c>
      <x:c r="E148" s="8" t="str">
        <x:v>0,75 мм²</x:v>
      </x:c>
      <x:c r="F148" s="8" t="str">
        <x:v>красный</x:v>
      </x:c>
      <x:c r="G148" s="8" t="str">
        <x:v>ШС1</x:v>
      </x:c>
      <x:c r="H148" s="8" t="str">
        <x:v>Провод</x:v>
      </x:c>
      <x:c r="I148" s="8" t="str"/>
      <x:c r="J148" s="9"/>
    </x:row>
    <x:row r="149" ht="31" hidden="0" customHeight="1">
      <x:c r="A149" s="8" t="n">
        <x:v>145</x:v>
      </x:c>
      <x:c r="B149" s="8" t="str">
        <x:v>37</x:v>
      </x:c>
      <x:c r="C149" s="8" t="str">
        <x:v>A4:1 [Л04]</x:v>
      </x:c>
      <x:c r="D149" s="8" t="str">
        <x:v>XT2:25</x:v>
      </x:c>
      <x:c r="E149" s="8" t="str">
        <x:v>0,75 мм²</x:v>
      </x:c>
      <x:c r="F149" s="8" t="str">
        <x:v>красный</x:v>
      </x:c>
      <x:c r="G149" s="8" t="str">
        <x:v>ШС1</x:v>
      </x:c>
      <x:c r="H149" s="8" t="str">
        <x:v>Провод</x:v>
      </x:c>
      <x:c r="I149" s="8" t="str"/>
      <x:c r="J149" s="9"/>
    </x:row>
    <x:row r="150" ht="31" hidden="0" customHeight="1">
      <x:c r="A150" s="8" t="n">
        <x:v>146</x:v>
      </x:c>
      <x:c r="B150" s="8" t="str">
        <x:v>38</x:v>
      </x:c>
      <x:c r="C150" s="8" t="str">
        <x:v>A4:2 [Л05]</x:v>
      </x:c>
      <x:c r="D150" s="8" t="str">
        <x:v>XT2:27</x:v>
      </x:c>
      <x:c r="E150" s="8" t="str">
        <x:v>0,75 мм²</x:v>
      </x:c>
      <x:c r="F150" s="8" t="str">
        <x:v>красный</x:v>
      </x:c>
      <x:c r="G150" s="8" t="str">
        <x:v>ШС1</x:v>
      </x:c>
      <x:c r="H150" s="8" t="str">
        <x:v>Провод</x:v>
      </x:c>
      <x:c r="I150" s="8" t="str"/>
      <x:c r="J150" s="9"/>
    </x:row>
    <x:row r="151" ht="31" hidden="0" customHeight="1">
      <x:c r="A151" s="8" t="n">
        <x:v>147</x:v>
      </x:c>
      <x:c r="B151" s="8" t="str">
        <x:v>39</x:v>
      </x:c>
      <x:c r="C151" s="8" t="str">
        <x:v>A4:3 [Л06]</x:v>
      </x:c>
      <x:c r="D151" s="8" t="str">
        <x:v>XT2:29</x:v>
      </x:c>
      <x:c r="E151" s="8" t="str">
        <x:v>0,75 мм²</x:v>
      </x:c>
      <x:c r="F151" s="8" t="str">
        <x:v>красный</x:v>
      </x:c>
      <x:c r="G151" s="8" t="str">
        <x:v>ШС1</x:v>
      </x:c>
      <x:c r="H151" s="8" t="str">
        <x:v>Провод</x:v>
      </x:c>
      <x:c r="I151" s="8" t="str"/>
      <x:c r="J151" s="9"/>
    </x:row>
    <x:row r="152" ht="31" hidden="0" customHeight="1">
      <x:c r="A152" s="8" t="n">
        <x:v>148</x:v>
      </x:c>
      <x:c r="B152" s="8" t="str">
        <x:v>40</x:v>
      </x:c>
      <x:c r="C152" s="8" t="str">
        <x:v>A4:4 [Л07]</x:v>
      </x:c>
      <x:c r="D152" s="8" t="str">
        <x:v>KM1:14</x:v>
      </x:c>
      <x:c r="E152" s="8" t="str">
        <x:v>0,75 мм²</x:v>
      </x:c>
      <x:c r="F152" s="8" t="str">
        <x:v>красный</x:v>
      </x:c>
      <x:c r="G152" s="8" t="str">
        <x:v>ШС1</x:v>
      </x:c>
      <x:c r="H152" s="8" t="str">
        <x:v>Провод</x:v>
      </x:c>
      <x:c r="I152" s="8" t="str"/>
      <x:c r="J152" s="9"/>
    </x:row>
    <x:row r="153" ht="31" hidden="0" customHeight="1">
      <x:c r="A153" s="8" t="n">
        <x:v>149</x:v>
      </x:c>
      <x:c r="B153" s="8" t="str">
        <x:v>41</x:v>
      </x:c>
      <x:c r="C153" s="8" t="str">
        <x:v>A4:5 [Л08]</x:v>
      </x:c>
      <x:c r="D153" s="8" t="str">
        <x:v>SK2:2</x:v>
      </x:c>
      <x:c r="E153" s="8" t="str">
        <x:v>0,75 мм²</x:v>
      </x:c>
      <x:c r="F153" s="8" t="str">
        <x:v>красный</x:v>
      </x:c>
      <x:c r="G153" s="8" t="str">
        <x:v>ШС1</x:v>
      </x:c>
      <x:c r="H153" s="8" t="str">
        <x:v>Провод</x:v>
      </x:c>
      <x:c r="I153" s="8" t="str"/>
      <x:c r="J153" s="9"/>
    </x:row>
    <x:row r="154" ht="31" hidden="0" customHeight="1">
      <x:c r="A154" s="8" t="n">
        <x:v>150</x:v>
      </x:c>
      <x:c r="B154" s="8" t="str">
        <x:v>50</x:v>
      </x:c>
      <x:c r="C154" s="8" t="str">
        <x:v>A1:Y0</x:v>
      </x:c>
      <x:c r="D154" s="8" t="str">
        <x:v>K1:A2</x:v>
      </x:c>
      <x:c r="E154" s="8" t="str">
        <x:v>0,75 мм²</x:v>
      </x:c>
      <x:c r="F154" s="8" t="str">
        <x:v>чёрный</x:v>
      </x:c>
      <x:c r="G154" s="8" t="str">
        <x:v>ШС1</x:v>
      </x:c>
      <x:c r="H154" s="8" t="str">
        <x:v>Провод</x:v>
      </x:c>
      <x:c r="I154" s="8" t="str"/>
      <x:c r="J154" s="9"/>
    </x:row>
    <x:row r="155" ht="31" hidden="0" customHeight="1">
      <x:c r="A155" s="8" t="n">
        <x:v>151</x:v>
      </x:c>
      <x:c r="B155" s="8" t="str">
        <x:v>51</x:v>
      </x:c>
      <x:c r="C155" s="8" t="str">
        <x:v>A1:Y1</x:v>
      </x:c>
      <x:c r="D155" s="8" t="str">
        <x:v>K2:A2</x:v>
      </x:c>
      <x:c r="E155" s="8" t="str">
        <x:v>0,75 мм²</x:v>
      </x:c>
      <x:c r="F155" s="8" t="str">
        <x:v>чёрный</x:v>
      </x:c>
      <x:c r="G155" s="8" t="str">
        <x:v>ШС1</x:v>
      </x:c>
      <x:c r="H155" s="8" t="str">
        <x:v>Провод</x:v>
      </x:c>
      <x:c r="I155" s="8" t="str"/>
      <x:c r="J155" s="9"/>
    </x:row>
    <x:row r="156" ht="31" hidden="0" customHeight="1">
      <x:c r="A156" s="8" t="n">
        <x:v>152</x:v>
      </x:c>
      <x:c r="B156" s="8" t="str">
        <x:v>52</x:v>
      </x:c>
      <x:c r="C156" s="8" t="str">
        <x:v>A1:Y2</x:v>
      </x:c>
      <x:c r="D156" s="8" t="str">
        <x:v>K3:A2</x:v>
      </x:c>
      <x:c r="E156" s="8" t="str">
        <x:v>0,75 мм²</x:v>
      </x:c>
      <x:c r="F156" s="8" t="str">
        <x:v>чёрный</x:v>
      </x:c>
      <x:c r="G156" s="8" t="str">
        <x:v>ШС1</x:v>
      </x:c>
      <x:c r="H156" s="8" t="str">
        <x:v>Провод</x:v>
      </x:c>
      <x:c r="I156" s="8" t="str"/>
      <x:c r="J156" s="9"/>
    </x:row>
    <x:row r="157" ht="31" hidden="0" customHeight="1">
      <x:c r="A157" s="8" t="n">
        <x:v>153</x:v>
      </x:c>
      <x:c r="B157" s="8" t="str">
        <x:v>53</x:v>
      </x:c>
      <x:c r="C157" s="8" t="str">
        <x:v>A1:Y3</x:v>
      </x:c>
      <x:c r="D157" s="8" t="str">
        <x:v>K4:A2</x:v>
      </x:c>
      <x:c r="E157" s="8" t="str">
        <x:v>0,75 мм²</x:v>
      </x:c>
      <x:c r="F157" s="8" t="str">
        <x:v>чёрный</x:v>
      </x:c>
      <x:c r="G157" s="8" t="str">
        <x:v>ШС1</x:v>
      </x:c>
      <x:c r="H157" s="8" t="str">
        <x:v>Провод</x:v>
      </x:c>
      <x:c r="I157" s="8" t="str"/>
      <x:c r="J157" s="9"/>
    </x:row>
    <x:row r="158" ht="31" hidden="0" customHeight="1">
      <x:c r="A158" s="8" t="n">
        <x:v>154</x:v>
      </x:c>
      <x:c r="B158" s="8" t="str">
        <x:v>54</x:v>
      </x:c>
      <x:c r="C158" s="8" t="str">
        <x:v>A1:Y4</x:v>
      </x:c>
      <x:c r="D158" s="8" t="str">
        <x:v>K5:A2</x:v>
      </x:c>
      <x:c r="E158" s="8" t="str">
        <x:v>0,75 мм²</x:v>
      </x:c>
      <x:c r="F158" s="8" t="str">
        <x:v>чёрный</x:v>
      </x:c>
      <x:c r="G158" s="8" t="str">
        <x:v>ШС1</x:v>
      </x:c>
      <x:c r="H158" s="8" t="str">
        <x:v>Провод</x:v>
      </x:c>
      <x:c r="I158" s="8" t="str"/>
      <x:c r="J158" s="9"/>
    </x:row>
    <x:row r="159" ht="31" hidden="0" customHeight="1">
      <x:c r="A159" s="8" t="n">
        <x:v>155</x:v>
      </x:c>
      <x:c r="B159" s="8" t="str">
        <x:v>55</x:v>
      </x:c>
      <x:c r="C159" s="8" t="str">
        <x:v>A1:Y5</x:v>
      </x:c>
      <x:c r="D159" s="8" t="str">
        <x:v>K6:A2</x:v>
      </x:c>
      <x:c r="E159" s="8" t="str">
        <x:v>0,75 мм²</x:v>
      </x:c>
      <x:c r="F159" s="8" t="str">
        <x:v>чёрный</x:v>
      </x:c>
      <x:c r="G159" s="8" t="str">
        <x:v>ШС1</x:v>
      </x:c>
      <x:c r="H159" s="8" t="str">
        <x:v>Провод</x:v>
      </x:c>
      <x:c r="I159" s="8" t="str"/>
      <x:c r="J159" s="9"/>
    </x:row>
    <x:row r="160" ht="31" hidden="0" customHeight="1">
      <x:c r="A160" s="8" t="n">
        <x:v>156</x:v>
      </x:c>
      <x:c r="B160" s="8" t="str">
        <x:v>56</x:v>
      </x:c>
      <x:c r="C160" s="8" t="str">
        <x:v>A1:Y6</x:v>
      </x:c>
      <x:c r="D160" s="8" t="str">
        <x:v>K7:A2</x:v>
      </x:c>
      <x:c r="E160" s="8" t="str">
        <x:v>0,75 мм²</x:v>
      </x:c>
      <x:c r="F160" s="8" t="str">
        <x:v>чёрный</x:v>
      </x:c>
      <x:c r="G160" s="8" t="str">
        <x:v>ШС1</x:v>
      </x:c>
      <x:c r="H160" s="8" t="str">
        <x:v>Провод</x:v>
      </x:c>
      <x:c r="I160" s="8" t="str"/>
      <x:c r="J160" s="9"/>
    </x:row>
    <x:row r="161" ht="31" hidden="0" customHeight="1">
      <x:c r="A161" s="8" t="n">
        <x:v>157</x:v>
      </x:c>
      <x:c r="B161" s="8" t="str">
        <x:v>57</x:v>
      </x:c>
      <x:c r="C161" s="8" t="str">
        <x:v>A1:Y7</x:v>
      </x:c>
      <x:c r="D161" s="8" t="str">
        <x:v>K8:A2</x:v>
      </x:c>
      <x:c r="E161" s="8" t="str">
        <x:v>0,75 мм²</x:v>
      </x:c>
      <x:c r="F161" s="8" t="str">
        <x:v>чёрный</x:v>
      </x:c>
      <x:c r="G161" s="8" t="str">
        <x:v>ШС1</x:v>
      </x:c>
      <x:c r="H161" s="8" t="str">
        <x:v>Провод</x:v>
      </x:c>
      <x:c r="I161" s="8" t="str"/>
      <x:c r="J161" s="9"/>
    </x:row>
    <x:row r="162" ht="31" hidden="0" customHeight="1">
      <x:c r="A162" s="8" t="n">
        <x:v>158</x:v>
      </x:c>
      <x:c r="B162" s="8" t="str">
        <x:v>58</x:v>
      </x:c>
      <x:c r="C162" s="8" t="str">
        <x:v>A1:Y8</x:v>
      </x:c>
      <x:c r="D162" s="8" t="str">
        <x:v>K9:A2</x:v>
      </x:c>
      <x:c r="E162" s="8" t="str">
        <x:v>0,75 мм²</x:v>
      </x:c>
      <x:c r="F162" s="8" t="str">
        <x:v>чёрный</x:v>
      </x:c>
      <x:c r="G162" s="8" t="str">
        <x:v>ШС1</x:v>
      </x:c>
      <x:c r="H162" s="8" t="str">
        <x:v>Провод</x:v>
      </x:c>
      <x:c r="I162" s="8" t="str"/>
      <x:c r="J162" s="9"/>
    </x:row>
    <x:row r="163" ht="31" hidden="0" customHeight="1">
      <x:c r="A163" s="8" t="n">
        <x:v>159</x:v>
      </x:c>
      <x:c r="B163" s="8" t="str">
        <x:v>59</x:v>
      </x:c>
      <x:c r="C163" s="8" t="str">
        <x:v>A1:Y9</x:v>
      </x:c>
      <x:c r="D163" s="8" t="str">
        <x:v>K10:A2</x:v>
      </x:c>
      <x:c r="E163" s="8" t="str">
        <x:v>0,75 мм²</x:v>
      </x:c>
      <x:c r="F163" s="8" t="str">
        <x:v>чёрный</x:v>
      </x:c>
      <x:c r="G163" s="8" t="str">
        <x:v>ШС1</x:v>
      </x:c>
      <x:c r="H163" s="8" t="str">
        <x:v>Провод</x:v>
      </x:c>
      <x:c r="I163" s="8" t="str"/>
      <x:c r="J163" s="9"/>
    </x:row>
    <x:row r="164" ht="31" hidden="0" customHeight="1">
      <x:c r="A164" s="8" t="n">
        <x:v>160</x:v>
      </x:c>
      <x:c r="B164" s="8" t="str">
        <x:v>60</x:v>
      </x:c>
      <x:c r="C164" s="8" t="str">
        <x:v>A1:Y10</x:v>
      </x:c>
      <x:c r="D164" s="8" t="str">
        <x:v>K11:A2</x:v>
      </x:c>
      <x:c r="E164" s="8" t="str">
        <x:v>0,75 мм²</x:v>
      </x:c>
      <x:c r="F164" s="8" t="str">
        <x:v>чёрный</x:v>
      </x:c>
      <x:c r="G164" s="8" t="str">
        <x:v>ШС1</x:v>
      </x:c>
      <x:c r="H164" s="8" t="str">
        <x:v>Провод</x:v>
      </x:c>
      <x:c r="I164" s="8" t="str"/>
      <x:c r="J164" s="9"/>
    </x:row>
    <x:row r="165" ht="31" hidden="0" customHeight="1">
      <x:c r="A165" s="8" t="n">
        <x:v>161</x:v>
      </x:c>
      <x:c r="B165" s="8" t="str">
        <x:v>61</x:v>
      </x:c>
      <x:c r="C165" s="8" t="str">
        <x:v>A1:Y11</x:v>
      </x:c>
      <x:c r="D165" s="8" t="str">
        <x:v>K12:A2</x:v>
      </x:c>
      <x:c r="E165" s="8" t="str">
        <x:v>0,75 мм²</x:v>
      </x:c>
      <x:c r="F165" s="8" t="str">
        <x:v>чёрный</x:v>
      </x:c>
      <x:c r="G165" s="8" t="str">
        <x:v>ШС1</x:v>
      </x:c>
      <x:c r="H165" s="8" t="str">
        <x:v>Провод</x:v>
      </x:c>
      <x:c r="I165" s="8" t="str"/>
      <x:c r="J165" s="9"/>
    </x:row>
    <x:row r="166" ht="31" hidden="0" customHeight="1">
      <x:c r="A166" s="8" t="n">
        <x:v>162</x:v>
      </x:c>
      <x:c r="B166" s="8" t="str">
        <x:v>62</x:v>
      </x:c>
      <x:c r="C166" s="8" t="str">
        <x:v>A4:0 [П03]</x:v>
      </x:c>
      <x:c r="D166" s="8" t="str">
        <x:v>K13:A2</x:v>
      </x:c>
      <x:c r="E166" s="8" t="str">
        <x:v>0,75 мм²</x:v>
      </x:c>
      <x:c r="F166" s="8" t="str">
        <x:v>чёрный</x:v>
      </x:c>
      <x:c r="G166" s="8" t="str">
        <x:v>ШС1</x:v>
      </x:c>
      <x:c r="H166" s="8" t="str">
        <x:v>Провод</x:v>
      </x:c>
      <x:c r="I166" s="8" t="str"/>
      <x:c r="J166" s="9"/>
    </x:row>
    <x:row r="167" ht="31" hidden="0" customHeight="1">
      <x:c r="A167" s="8" t="n">
        <x:v>163</x:v>
      </x:c>
      <x:c r="B167" s="8" t="str">
        <x:v>63</x:v>
      </x:c>
      <x:c r="C167" s="8" t="str">
        <x:v>A4:1 [П04]</x:v>
      </x:c>
      <x:c r="D167" s="8" t="str">
        <x:v>K14:A2</x:v>
      </x:c>
      <x:c r="E167" s="8" t="str">
        <x:v>0,75 мм²</x:v>
      </x:c>
      <x:c r="F167" s="8" t="str">
        <x:v>чёрный</x:v>
      </x:c>
      <x:c r="G167" s="8" t="str">
        <x:v>ШС1</x:v>
      </x:c>
      <x:c r="H167" s="8" t="str">
        <x:v>Провод</x:v>
      </x:c>
      <x:c r="I167" s="8" t="str"/>
      <x:c r="J167" s="9"/>
    </x:row>
    <x:row r="168" ht="31" hidden="0" customHeight="1">
      <x:c r="A168" s="8" t="n">
        <x:v>164</x:v>
      </x:c>
      <x:c r="B168" s="8" t="str">
        <x:v>65</x:v>
      </x:c>
      <x:c r="C168" s="8" t="str">
        <x:v>A4:2 [П05]</x:v>
      </x:c>
      <x:c r="D168" s="8" t="str">
        <x:v>K16:A2</x:v>
      </x:c>
      <x:c r="E168" s="8" t="str">
        <x:v>0,75 мм²</x:v>
      </x:c>
      <x:c r="F168" s="8" t="str">
        <x:v>чёрный</x:v>
      </x:c>
      <x:c r="G168" s="8" t="str">
        <x:v>ШС1</x:v>
      </x:c>
      <x:c r="H168" s="8" t="str">
        <x:v>Провод</x:v>
      </x:c>
      <x:c r="I168" s="8" t="str"/>
      <x:c r="J168" s="9"/>
    </x:row>
    <x:row r="169" ht="31" hidden="0" customHeight="1">
      <x:c r="A169" s="8" t="n">
        <x:v>165</x:v>
      </x:c>
      <x:c r="B169" s="8" t="str">
        <x:v>70</x:v>
      </x:c>
      <x:c r="C169" s="8" t="str">
        <x:v>K2:14</x:v>
      </x:c>
      <x:c r="D169" s="8" t="str">
        <x:v>K3:21</x:v>
      </x:c>
      <x:c r="E169" s="8" t="str">
        <x:v>0,75 мм²</x:v>
      </x:c>
      <x:c r="F169" s="8" t="str">
        <x:v>красный</x:v>
      </x:c>
      <x:c r="G169" s="8" t="str">
        <x:v>ШС1</x:v>
      </x:c>
      <x:c r="H169" s="8" t="str">
        <x:v>Провод</x:v>
      </x:c>
      <x:c r="I169" s="8" t="str"/>
      <x:c r="J169" s="9"/>
    </x:row>
    <x:row r="170" ht="31" hidden="0" customHeight="1">
      <x:c r="A170" s="8" t="n">
        <x:v>166</x:v>
      </x:c>
      <x:c r="B170" s="8" t="str">
        <x:v>71</x:v>
      </x:c>
      <x:c r="C170" s="8" t="str">
        <x:v>K2:21</x:v>
      </x:c>
      <x:c r="D170" s="8" t="str">
        <x:v>K3:14</x:v>
      </x:c>
      <x:c r="E170" s="8" t="str">
        <x:v>0,75 мм²</x:v>
      </x:c>
      <x:c r="F170" s="8" t="str">
        <x:v>красный</x:v>
      </x:c>
      <x:c r="G170" s="8" t="str">
        <x:v>ШС1</x:v>
      </x:c>
      <x:c r="H170" s="8" t="str">
        <x:v>Провод</x:v>
      </x:c>
      <x:c r="I170" s="8" t="str"/>
      <x:c r="J170" s="9"/>
    </x:row>
    <x:row r="171" ht="31" hidden="0" customHeight="1">
      <x:c r="A171" s="8" t="n">
        <x:v>167</x:v>
      </x:c>
      <x:c r="B171" s="8" t="str">
        <x:v>72</x:v>
      </x:c>
      <x:c r="C171" s="8" t="str">
        <x:v>K4:14</x:v>
      </x:c>
      <x:c r="D171" s="8" t="str">
        <x:v>K5:21</x:v>
      </x:c>
      <x:c r="E171" s="8" t="str">
        <x:v>0,75 мм²</x:v>
      </x:c>
      <x:c r="F171" s="8" t="str">
        <x:v>красный</x:v>
      </x:c>
      <x:c r="G171" s="8" t="str">
        <x:v>ШС1</x:v>
      </x:c>
      <x:c r="H171" s="8" t="str">
        <x:v>Провод</x:v>
      </x:c>
      <x:c r="I171" s="8" t="str"/>
      <x:c r="J171" s="9"/>
    </x:row>
    <x:row r="172" ht="31" hidden="0" customHeight="1">
      <x:c r="A172" s="8" t="n">
        <x:v>168</x:v>
      </x:c>
      <x:c r="B172" s="8" t="str">
        <x:v>73</x:v>
      </x:c>
      <x:c r="C172" s="8" t="str">
        <x:v>K4:21</x:v>
      </x:c>
      <x:c r="D172" s="8" t="str">
        <x:v>K5:14</x:v>
      </x:c>
      <x:c r="E172" s="8" t="str">
        <x:v>0,75 мм²</x:v>
      </x:c>
      <x:c r="F172" s="8" t="str">
        <x:v>красный</x:v>
      </x:c>
      <x:c r="G172" s="8" t="str">
        <x:v>ШС1</x:v>
      </x:c>
      <x:c r="H172" s="8" t="str">
        <x:v>Провод</x:v>
      </x:c>
      <x:c r="I172" s="8" t="str"/>
      <x:c r="J172" s="9"/>
    </x:row>
    <x:row r="173" ht="31" hidden="0" customHeight="1">
      <x:c r="A173" s="8" t="n">
        <x:v>169</x:v>
      </x:c>
      <x:c r="B173" s="8" t="str">
        <x:v>74</x:v>
      </x:c>
      <x:c r="C173" s="8" t="str">
        <x:v>K6:14</x:v>
      </x:c>
      <x:c r="D173" s="8" t="str">
        <x:v>K7:21</x:v>
      </x:c>
      <x:c r="E173" s="8" t="str">
        <x:v>0,75 мм²</x:v>
      </x:c>
      <x:c r="F173" s="8" t="str">
        <x:v>красный</x:v>
      </x:c>
      <x:c r="G173" s="8" t="str">
        <x:v>ШС1</x:v>
      </x:c>
      <x:c r="H173" s="8" t="str">
        <x:v>Провод</x:v>
      </x:c>
      <x:c r="I173" s="8" t="str"/>
      <x:c r="J173" s="9"/>
    </x:row>
    <x:row r="174" ht="31" hidden="0" customHeight="1">
      <x:c r="A174" s="8" t="n">
        <x:v>170</x:v>
      </x:c>
      <x:c r="B174" s="8" t="str">
        <x:v>75</x:v>
      </x:c>
      <x:c r="C174" s="8" t="str">
        <x:v>K6:21</x:v>
      </x:c>
      <x:c r="D174" s="8" t="str">
        <x:v>K7:14</x:v>
      </x:c>
      <x:c r="E174" s="8" t="str">
        <x:v>0,75 мм²</x:v>
      </x:c>
      <x:c r="F174" s="8" t="str">
        <x:v>красный</x:v>
      </x:c>
      <x:c r="G174" s="8" t="str">
        <x:v>ШС1</x:v>
      </x:c>
      <x:c r="H174" s="8" t="str">
        <x:v>Провод</x:v>
      </x:c>
      <x:c r="I174" s="8" t="str"/>
      <x:c r="J174" s="9"/>
    </x:row>
    <x:row r="175" ht="31" hidden="0" customHeight="1">
      <x:c r="A175" s="8" t="n">
        <x:v>171</x:v>
      </x:c>
      <x:c r="B175" s="8" t="str">
        <x:v>100</x:v>
      </x:c>
      <x:c r="C175" s="8" t="str">
        <x:v>K3:22</x:v>
      </x:c>
      <x:c r="D175" s="8" t="str">
        <x:v>XT3:1</x:v>
      </x:c>
      <x:c r="E175" s="8" t="str">
        <x:v>0,75 мм²</x:v>
      </x:c>
      <x:c r="F175" s="8" t="str">
        <x:v>красный</x:v>
      </x:c>
      <x:c r="G175" s="8" t="str">
        <x:v>ШС1</x:v>
      </x:c>
      <x:c r="H175" s="8" t="str">
        <x:v>Провод</x:v>
      </x:c>
      <x:c r="I175" s="8" t="str"/>
      <x:c r="J175" s="9"/>
    </x:row>
    <x:row r="176" ht="31" hidden="0" customHeight="1">
      <x:c r="A176" s="8" t="n">
        <x:v>172</x:v>
      </x:c>
      <x:c r="B176" s="8" t="str">
        <x:v>101</x:v>
      </x:c>
      <x:c r="C176" s="8" t="str">
        <x:v>K2:22</x:v>
      </x:c>
      <x:c r="D176" s="8" t="str">
        <x:v>XT3:3</x:v>
      </x:c>
      <x:c r="E176" s="8" t="str">
        <x:v>0,75 мм²</x:v>
      </x:c>
      <x:c r="F176" s="8" t="str">
        <x:v>красный</x:v>
      </x:c>
      <x:c r="G176" s="8" t="str">
        <x:v>ШС1</x:v>
      </x:c>
      <x:c r="H176" s="8" t="str">
        <x:v>Провод</x:v>
      </x:c>
      <x:c r="I176" s="8" t="str"/>
      <x:c r="J176" s="9"/>
    </x:row>
    <x:row r="177" ht="31" hidden="0" customHeight="1">
      <x:c r="A177" s="8" t="n">
        <x:v>173</x:v>
      </x:c>
      <x:c r="B177" s="8" t="str">
        <x:v>102</x:v>
      </x:c>
      <x:c r="C177" s="8" t="str">
        <x:v>K5:22</x:v>
      </x:c>
      <x:c r="D177" s="8" t="str">
        <x:v>XT3:5</x:v>
      </x:c>
      <x:c r="E177" s="8" t="str">
        <x:v>0,75 мм²</x:v>
      </x:c>
      <x:c r="F177" s="8" t="str">
        <x:v>красный</x:v>
      </x:c>
      <x:c r="G177" s="8" t="str">
        <x:v>ШС1</x:v>
      </x:c>
      <x:c r="H177" s="8" t="str">
        <x:v>Провод</x:v>
      </x:c>
      <x:c r="I177" s="8" t="str"/>
      <x:c r="J177" s="9"/>
    </x:row>
    <x:row r="178" ht="31" hidden="0" customHeight="1">
      <x:c r="A178" s="8" t="n">
        <x:v>174</x:v>
      </x:c>
      <x:c r="B178" s="8" t="str">
        <x:v>103</x:v>
      </x:c>
      <x:c r="C178" s="8" t="str">
        <x:v>K4:22</x:v>
      </x:c>
      <x:c r="D178" s="8" t="str">
        <x:v>XT3:7</x:v>
      </x:c>
      <x:c r="E178" s="8" t="str">
        <x:v>0,75 мм²</x:v>
      </x:c>
      <x:c r="F178" s="8" t="str">
        <x:v>красный</x:v>
      </x:c>
      <x:c r="G178" s="8" t="str">
        <x:v>ШС1</x:v>
      </x:c>
      <x:c r="H178" s="8" t="str">
        <x:v>Провод</x:v>
      </x:c>
      <x:c r="I178" s="8" t="str"/>
      <x:c r="J178" s="9"/>
    </x:row>
    <x:row r="179" ht="31" hidden="0" customHeight="1">
      <x:c r="A179" s="8" t="n">
        <x:v>175</x:v>
      </x:c>
      <x:c r="B179" s="8" t="str">
        <x:v>104</x:v>
      </x:c>
      <x:c r="C179" s="8" t="str">
        <x:v>K7:22</x:v>
      </x:c>
      <x:c r="D179" s="8" t="str">
        <x:v>XT3:9</x:v>
      </x:c>
      <x:c r="E179" s="8" t="str">
        <x:v>0,75 мм²</x:v>
      </x:c>
      <x:c r="F179" s="8" t="str">
        <x:v>красный</x:v>
      </x:c>
      <x:c r="G179" s="8" t="str">
        <x:v>ШС1</x:v>
      </x:c>
      <x:c r="H179" s="8" t="str">
        <x:v>Провод</x:v>
      </x:c>
      <x:c r="I179" s="8" t="str"/>
      <x:c r="J179" s="9"/>
    </x:row>
    <x:row r="180" ht="31" hidden="0" customHeight="1">
      <x:c r="A180" s="8" t="n">
        <x:v>176</x:v>
      </x:c>
      <x:c r="B180" s="8" t="str">
        <x:v>105</x:v>
      </x:c>
      <x:c r="C180" s="8" t="str">
        <x:v>K6:22</x:v>
      </x:c>
      <x:c r="D180" s="8" t="str">
        <x:v>XT3:11</x:v>
      </x:c>
      <x:c r="E180" s="8" t="str">
        <x:v>0,75 мм²</x:v>
      </x:c>
      <x:c r="F180" s="8" t="str">
        <x:v>красный</x:v>
      </x:c>
      <x:c r="G180" s="8" t="str">
        <x:v>ШС1</x:v>
      </x:c>
      <x:c r="H180" s="8" t="str">
        <x:v>Провод</x:v>
      </x:c>
      <x:c r="I180" s="8" t="str"/>
      <x:c r="J180" s="9"/>
    </x:row>
    <x:row r="181" ht="31" hidden="0" customHeight="1">
      <x:c r="A181" s="8" t="n">
        <x:v>177</x:v>
      </x:c>
      <x:c r="B181" s="8" t="str">
        <x:v>107</x:v>
      </x:c>
      <x:c r="C181" s="8" t="str">
        <x:v>K9:14</x:v>
      </x:c>
      <x:c r="D181" s="8" t="str">
        <x:v>XT9:8</x:v>
      </x:c>
      <x:c r="E181" s="8" t="str">
        <x:v>0,75 мм²</x:v>
      </x:c>
      <x:c r="F181" s="8" t="str">
        <x:v>красный</x:v>
      </x:c>
      <x:c r="G181" s="8" t="str">
        <x:v>ШС1</x:v>
      </x:c>
      <x:c r="H181" s="8" t="str">
        <x:v>Провод</x:v>
      </x:c>
      <x:c r="I181" s="8" t="str"/>
      <x:c r="J181" s="9"/>
    </x:row>
    <x:row r="182" ht="31" hidden="0" customHeight="1">
      <x:c r="A182" s="8" t="n">
        <x:v>178</x:v>
      </x:c>
      <x:c r="B182" s="8" t="str">
        <x:v>108</x:v>
      </x:c>
      <x:c r="C182" s="8" t="str">
        <x:v>K1:14</x:v>
      </x:c>
      <x:c r="D182" s="8" t="str">
        <x:v>UZ1:MI1</x:v>
      </x:c>
      <x:c r="E182" s="8" t="str">
        <x:v>0,75 мм²</x:v>
      </x:c>
      <x:c r="F182" s="8" t="str">
        <x:v>чёрный</x:v>
      </x:c>
      <x:c r="G182" s="8" t="str">
        <x:v>ШС1</x:v>
      </x:c>
      <x:c r="H182" s="8" t="str">
        <x:v>Провод</x:v>
      </x:c>
      <x:c r="I182" s="8" t="str"/>
      <x:c r="J182" s="9"/>
    </x:row>
    <x:row r="183" ht="31.399999618530273" hidden="0" customHeight="1">
      <x:c r="A183" s="8" t="n">
        <x:v>179</x:v>
      </x:c>
      <x:c r="B183" s="8" t="str">
        <x:v>110</x:v>
      </x:c>
      <x:c r="C183" s="8" t="str">
        <x:v>A3:IO1</x:v>
      </x:c>
      <x:c r="D183" s="8" t="str">
        <x:v>UZ1:ACI</x:v>
      </x:c>
      <x:c r="E183" s="8" t="str">
        <x:v>24 AWG</x:v>
      </x:c>
      <x:c r="F183" s="8" t="str">
        <x:v>по кабелю</x:v>
      </x:c>
      <x:c r="G183" s="8" t="str">
        <x:v>ШС1</x:v>
      </x:c>
      <x:c r="H183" s="8" t="str">
        <x:v>WA1 (из имеющихся материалов)</x:v>
      </x:c>
      <x:c r="I183" s="8" t="str">
        <x:v>WA1: экранированная витая пара 24 AWG, из имеющихся материалов; экран — EQS1, у ПЧ изолировать.</x:v>
      </x:c>
      <x:c r="J183" s="9"/>
    </x:row>
    <x:row r="184" ht="31.399999618530273" hidden="0" customHeight="1">
      <x:c r="A184" s="8" t="n">
        <x:v>180</x:v>
      </x:c>
      <x:c r="B184" s="8" t="str">
        <x:v>111</x:v>
      </x:c>
      <x:c r="C184" s="8" t="str">
        <x:v>A3:AG</x:v>
      </x:c>
      <x:c r="D184" s="8" t="str">
        <x:v>UZ1:ACM</x:v>
      </x:c>
      <x:c r="E184" s="8" t="str">
        <x:v>24 AWG</x:v>
      </x:c>
      <x:c r="F184" s="8" t="str">
        <x:v>по кабелю</x:v>
      </x:c>
      <x:c r="G184" s="8" t="str">
        <x:v>ШС1</x:v>
      </x:c>
      <x:c r="H184" s="8" t="str">
        <x:v>WA1 (из имеющихся материалов)</x:v>
      </x:c>
      <x:c r="I184" s="8" t="str">
        <x:v>WA1: экранированная витая пара 24 AWG, из имеющихся материалов; экран — EQS1, у ПЧ изолировать.</x:v>
      </x:c>
      <x:c r="J184" s="9"/>
    </x:row>
    <x:row r="185" ht="31" hidden="0" customHeight="1">
      <x:c r="A185" s="8" t="n">
        <x:v>181</x:v>
      </x:c>
      <x:c r="B185" s="8" t="str">
        <x:v>112</x:v>
      </x:c>
      <x:c r="C185" s="8" t="str">
        <x:v>A3:I1+</x:v>
      </x:c>
      <x:c r="D185" s="8" t="str">
        <x:v>A3:V1+</x:v>
      </x:c>
      <x:c r="E185" s="8" t="str">
        <x:v>24 AWG</x:v>
      </x:c>
      <x:c r="F185" s="8" t="str">
        <x:v>белый¹</x:v>
      </x:c>
      <x:c r="G185" s="8" t="str">
        <x:v>ШС1</x:v>
      </x:c>
      <x:c r="H185" s="8" t="str">
        <x:v>Провод</x:v>
      </x:c>
      <x:c r="I185" s="8" t="str">
        <x:v>24 AWG, белый; функциональные обозначения на концах. Неподвижно.</x:v>
      </x:c>
      <x:c r="J185" s="9"/>
    </x:row>
    <x:row r="186" ht="31" hidden="0" customHeight="1">
      <x:c r="A186" s="8" t="n">
        <x:v>182</x:v>
      </x:c>
      <x:c r="B186" s="8" t="str">
        <x:v>112</x:v>
      </x:c>
      <x:c r="C186" s="8" t="str">
        <x:v>XT4:2</x:v>
      </x:c>
      <x:c r="D186" s="8" t="str">
        <x:v>A3:I1+</x:v>
      </x:c>
      <x:c r="E186" s="8" t="str">
        <x:v>24 AWG</x:v>
      </x:c>
      <x:c r="F186" s="8" t="str">
        <x:v>белый¹</x:v>
      </x:c>
      <x:c r="G186" s="8" t="str">
        <x:v>ШС1</x:v>
      </x:c>
      <x:c r="H186" s="8" t="str">
        <x:v>Провод</x:v>
      </x:c>
      <x:c r="I186" s="8" t="str">
        <x:v>24 AWG, белый; функциональные обозначения на концах. Неподвижно.</x:v>
      </x:c>
      <x:c r="J186" s="9"/>
    </x:row>
    <x:row r="187" ht="31" hidden="0" customHeight="1">
      <x:c r="A187" s="8" t="n">
        <x:v>183</x:v>
      </x:c>
      <x:c r="B187" s="8" t="str">
        <x:v>120</x:v>
      </x:c>
      <x:c r="C187" s="8" t="str">
        <x:v>A1:COM1 +</x:v>
      </x:c>
      <x:c r="D187" s="8" t="str">
        <x:v>R1:1</x:v>
      </x:c>
      <x:c r="E187" s="8" t="str">
        <x:v>—</x:v>
      </x:c>
      <x:c r="F187" s="8" t="str">
        <x:v>—</x:v>
      </x:c>
      <x:c r="G187" s="8" t="str">
        <x:v>ШС1</x:v>
      </x:c>
      <x:c r="H187" s="8" t="str">
        <x:v>Вывод детали</x:v>
      </x:c>
      <x:c r="I187" s="8" t="str">
        <x:v>Оконечный резистор; изолировать выводы</x:v>
      </x:c>
      <x:c r="J187" s="9"/>
    </x:row>
    <x:row r="188" ht="31" hidden="0" customHeight="1">
      <x:c r="A188" s="8" t="n">
        <x:v>184</x:v>
      </x:c>
      <x:c r="B188" s="8" t="str">
        <x:v>120</x:v>
      </x:c>
      <x:c r="C188" s="8" t="str">
        <x:v>A1:COM1 +</x:v>
      </x:c>
      <x:c r="D188" s="8" t="str">
        <x:v>XT6:1</x:v>
      </x:c>
      <x:c r="E188" s="8" t="str">
        <x:v>0,75 мм²</x:v>
      </x:c>
      <x:c r="F188" s="8" t="str">
        <x:v>красный</x:v>
      </x:c>
      <x:c r="G188" s="8" t="str">
        <x:v>ШС1</x:v>
      </x:c>
      <x:c r="H188" s="8" t="str">
        <x:v>Провод</x:v>
      </x:c>
      <x:c r="I188" s="8" t="str">
        <x:v>Пару 120/121 скрутить; R1 на разъёме COM1 ПЛК.</x:v>
      </x:c>
      <x:c r="J188" s="9"/>
    </x:row>
    <x:row r="189" ht="31" hidden="0" customHeight="1">
      <x:c r="A189" s="8" t="n">
        <x:v>185</x:v>
      </x:c>
      <x:c r="B189" s="8" t="str">
        <x:v>121</x:v>
      </x:c>
      <x:c r="C189" s="8" t="str">
        <x:v>A1:COM1 −</x:v>
      </x:c>
      <x:c r="D189" s="8" t="str">
        <x:v>R1:2</x:v>
      </x:c>
      <x:c r="E189" s="8" t="str">
        <x:v>—</x:v>
      </x:c>
      <x:c r="F189" s="8" t="str">
        <x:v>—</x:v>
      </x:c>
      <x:c r="G189" s="8" t="str">
        <x:v>ШС1</x:v>
      </x:c>
      <x:c r="H189" s="8" t="str">
        <x:v>Вывод детали</x:v>
      </x:c>
      <x:c r="I189" s="8" t="str">
        <x:v>Оконечный резистор; изолировать выводы</x:v>
      </x:c>
      <x:c r="J189" s="9"/>
    </x:row>
    <x:row r="190" ht="31" hidden="0" customHeight="1">
      <x:c r="A190" s="8" t="n">
        <x:v>186</x:v>
      </x:c>
      <x:c r="B190" s="8" t="str">
        <x:v>121</x:v>
      </x:c>
      <x:c r="C190" s="8" t="str">
        <x:v>A1:COM1 −</x:v>
      </x:c>
      <x:c r="D190" s="8" t="str">
        <x:v>XT6:2</x:v>
      </x:c>
      <x:c r="E190" s="8" t="str">
        <x:v>0,75 мм²</x:v>
      </x:c>
      <x:c r="F190" s="8" t="str">
        <x:v>красный</x:v>
      </x:c>
      <x:c r="G190" s="8" t="str">
        <x:v>ШС1</x:v>
      </x:c>
      <x:c r="H190" s="8" t="str">
        <x:v>Провод</x:v>
      </x:c>
      <x:c r="I190" s="8" t="str">
        <x:v>Пару 120/121 скрутить; R1 на разъёме COM1 ПЛК.</x:v>
      </x:c>
      <x:c r="J190" s="9"/>
    </x:row>
    <x:row r="191" ht="31" hidden="0" customHeight="1">
      <x:c r="A191" s="8" t="n">
        <x:v>187</x:v>
      </x:c>
      <x:c r="B191" s="8" t="str">
        <x:v>122</x:v>
      </x:c>
      <x:c r="C191" s="8" t="str">
        <x:v>A1:SG</x:v>
      </x:c>
      <x:c r="D191" s="8" t="str">
        <x:v>XT6:3</x:v>
      </x:c>
      <x:c r="E191" s="8" t="str">
        <x:v>0,75 мм²</x:v>
      </x:c>
      <x:c r="F191" s="8" t="str">
        <x:v>красный</x:v>
      </x:c>
      <x:c r="G191" s="8" t="str">
        <x:v>ШС1</x:v>
      </x:c>
      <x:c r="H191" s="8" t="str">
        <x:v>Провод</x:v>
      </x:c>
      <x:c r="I191" s="8" t="str"/>
      <x:c r="J191" s="9"/>
    </x:row>
    <x:row r="192" ht="31.399999618530273" hidden="0" customHeight="1">
      <x:c r="A192" s="8" t="n">
        <x:v>188</x:v>
      </x:c>
      <x:c r="B192" s="8" t="str">
        <x:v>130</x:v>
      </x:c>
      <x:c r="C192" s="8" t="str">
        <x:v>A1:COM2 +</x:v>
      </x:c>
      <x:c r="D192" s="8" t="str">
        <x:v>A9:OUT 1</x:v>
      </x:c>
      <x:c r="E192" s="8" t="str">
        <x:v>по кабелю</x:v>
      </x:c>
      <x:c r="F192" s="8" t="str">
        <x:v>по кабелю</x:v>
      </x:c>
      <x:c r="G192" s="8" t="str">
        <x:v>ШС1</x:v>
      </x:c>
      <x:c r="H192" s="8" t="str">
        <x:v>W7a (из имеющихся материалов)</x:v>
      </x:c>
      <x:c r="I192" s="8" t="str">
        <x:v>W7a: экранированная витая пара из имеющихся материалов; сечение по фактическому кабелю в диапазоне зажимов ПЛК / АС5.</x:v>
      </x:c>
      <x:c r="J192" s="9"/>
    </x:row>
    <x:row r="193" ht="31" hidden="0" customHeight="1">
      <x:c r="A193" s="8" t="n">
        <x:v>189</x:v>
      </x:c>
      <x:c r="B193" s="8" t="str">
        <x:v>130</x:v>
      </x:c>
      <x:c r="C193" s="8" t="str">
        <x:v>A1:COM2 +</x:v>
      </x:c>
      <x:c r="D193" s="8" t="str">
        <x:v>R2:1</x:v>
      </x:c>
      <x:c r="E193" s="8" t="str">
        <x:v>—</x:v>
      </x:c>
      <x:c r="F193" s="8" t="str">
        <x:v>—</x:v>
      </x:c>
      <x:c r="G193" s="8" t="str">
        <x:v>ШС1</x:v>
      </x:c>
      <x:c r="H193" s="8" t="str">
        <x:v>Вывод детали</x:v>
      </x:c>
      <x:c r="I193" s="8" t="str">
        <x:v>Оконечный резистор; изолировать выводы</x:v>
      </x:c>
      <x:c r="J193" s="9"/>
    </x:row>
    <x:row r="194" ht="31.399999618530273" hidden="0" customHeight="1">
      <x:c r="A194" s="8" t="n">
        <x:v>190</x:v>
      </x:c>
      <x:c r="B194" s="8" t="str">
        <x:v>131</x:v>
      </x:c>
      <x:c r="C194" s="8" t="str">
        <x:v>A1:COM2 −</x:v>
      </x:c>
      <x:c r="D194" s="8" t="str">
        <x:v>A9:OUT 3</x:v>
      </x:c>
      <x:c r="E194" s="8" t="str">
        <x:v>по кабелю</x:v>
      </x:c>
      <x:c r="F194" s="8" t="str">
        <x:v>по кабелю</x:v>
      </x:c>
      <x:c r="G194" s="8" t="str">
        <x:v>ШС1</x:v>
      </x:c>
      <x:c r="H194" s="8" t="str">
        <x:v>W7a (из имеющихся материалов)</x:v>
      </x:c>
      <x:c r="I194" s="8" t="str">
        <x:v>W7a: экранированная витая пара из имеющихся материалов; сечение по фактическому кабелю в диапазоне зажимов ПЛК / АС5.</x:v>
      </x:c>
      <x:c r="J194" s="9"/>
    </x:row>
    <x:row r="195" ht="31" hidden="0" customHeight="1">
      <x:c r="A195" s="8" t="n">
        <x:v>191</x:v>
      </x:c>
      <x:c r="B195" s="8" t="str">
        <x:v>131</x:v>
      </x:c>
      <x:c r="C195" s="8" t="str">
        <x:v>A1:COM2 −</x:v>
      </x:c>
      <x:c r="D195" s="8" t="str">
        <x:v>R2:2</x:v>
      </x:c>
      <x:c r="E195" s="8" t="str">
        <x:v>—</x:v>
      </x:c>
      <x:c r="F195" s="8" t="str">
        <x:v>—</x:v>
      </x:c>
      <x:c r="G195" s="8" t="str">
        <x:v>ШС1</x:v>
      </x:c>
      <x:c r="H195" s="8" t="str">
        <x:v>Вывод детали</x:v>
      </x:c>
      <x:c r="I195" s="8" t="str">
        <x:v>Оконечный резистор; изолировать выводы</x:v>
      </x:c>
      <x:c r="J195" s="9"/>
    </x:row>
    <x:row r="196" ht="31" hidden="0" customHeight="1">
      <x:c r="A196" s="8" t="n">
        <x:v>192</x:v>
      </x:c>
      <x:c r="B196" s="8" t="str">
        <x:v>132</x:v>
      </x:c>
      <x:c r="C196" s="8" t="str">
        <x:v>A9:IN 5</x:v>
      </x:c>
      <x:c r="D196" s="8" t="str">
        <x:v>XT7:1</x:v>
      </x:c>
      <x:c r="E196" s="8" t="str">
        <x:v>0,75 мм²</x:v>
      </x:c>
      <x:c r="F196" s="8" t="str">
        <x:v>красный</x:v>
      </x:c>
      <x:c r="G196" s="8" t="str">
        <x:v>ШС1</x:v>
      </x:c>
      <x:c r="H196" s="8" t="str">
        <x:v>Провод</x:v>
      </x:c>
      <x:c r="I196" s="8" t="str"/>
      <x:c r="J196" s="9"/>
    </x:row>
    <x:row r="197" ht="31" hidden="0" customHeight="1">
      <x:c r="A197" s="8" t="n">
        <x:v>193</x:v>
      </x:c>
      <x:c r="B197" s="8" t="str">
        <x:v>133</x:v>
      </x:c>
      <x:c r="C197" s="8" t="str">
        <x:v>A9:IN 2</x:v>
      </x:c>
      <x:c r="D197" s="8" t="str">
        <x:v>XT7:2</x:v>
      </x:c>
      <x:c r="E197" s="8" t="str">
        <x:v>0,75 мм²</x:v>
      </x:c>
      <x:c r="F197" s="8" t="str">
        <x:v>красный</x:v>
      </x:c>
      <x:c r="G197" s="8" t="str">
        <x:v>ШС1</x:v>
      </x:c>
      <x:c r="H197" s="8" t="str">
        <x:v>Провод</x:v>
      </x:c>
      <x:c r="I197" s="8" t="str"/>
      <x:c r="J197" s="9"/>
    </x:row>
    <x:row r="198" ht="31" hidden="0" customHeight="1">
      <x:c r="A198" s="8" t="n">
        <x:v>194</x:v>
      </x:c>
      <x:c r="B198" s="8" t="str">
        <x:v>134</x:v>
      </x:c>
      <x:c r="C198" s="8" t="str">
        <x:v>A9:IN 3</x:v>
      </x:c>
      <x:c r="D198" s="8" t="str">
        <x:v>XT7:3</x:v>
      </x:c>
      <x:c r="E198" s="8" t="str">
        <x:v>0,75 мм²</x:v>
      </x:c>
      <x:c r="F198" s="8" t="str">
        <x:v>красный</x:v>
      </x:c>
      <x:c r="G198" s="8" t="str">
        <x:v>ШС1</x:v>
      </x:c>
      <x:c r="H198" s="8" t="str">
        <x:v>Провод</x:v>
      </x:c>
      <x:c r="I198" s="8" t="str"/>
      <x:c r="J198" s="9"/>
    </x:row>
    <x:row r="199" ht="31" hidden="0" customHeight="1">
      <x:c r="A199" s="8" t="n">
        <x:v>195</x:v>
      </x:c>
      <x:c r="B199" s="8" t="str">
        <x:v>140</x:v>
      </x:c>
      <x:c r="C199" s="8" t="str">
        <x:v>K10:11</x:v>
      </x:c>
      <x:c r="D199" s="8" t="str">
        <x:v>XT5:1</x:v>
      </x:c>
      <x:c r="E199" s="8" t="str">
        <x:v>0,75 мм²</x:v>
      </x:c>
      <x:c r="F199" s="8" t="str">
        <x:v>красный</x:v>
      </x:c>
      <x:c r="G199" s="8" t="str">
        <x:v>ШС1</x:v>
      </x:c>
      <x:c r="H199" s="8" t="str">
        <x:v>Провод</x:v>
      </x:c>
      <x:c r="I199" s="8" t="str"/>
      <x:c r="J199" s="9"/>
    </x:row>
    <x:row r="200" ht="31" hidden="0" customHeight="1">
      <x:c r="A200" s="8" t="n">
        <x:v>196</x:v>
      </x:c>
      <x:c r="B200" s="8" t="str">
        <x:v>141</x:v>
      </x:c>
      <x:c r="C200" s="8" t="str">
        <x:v>K10:14</x:v>
      </x:c>
      <x:c r="D200" s="8" t="str">
        <x:v>XT5:2</x:v>
      </x:c>
      <x:c r="E200" s="8" t="str">
        <x:v>0,75 мм²</x:v>
      </x:c>
      <x:c r="F200" s="8" t="str">
        <x:v>красный</x:v>
      </x:c>
      <x:c r="G200" s="8" t="str">
        <x:v>ШС1</x:v>
      </x:c>
      <x:c r="H200" s="8" t="str">
        <x:v>Провод</x:v>
      </x:c>
      <x:c r="I200" s="8" t="str"/>
      <x:c r="J200" s="9"/>
    </x:row>
    <x:row r="201" ht="31" hidden="0" customHeight="1">
      <x:c r="A201" s="8" t="n">
        <x:v>197</x:v>
      </x:c>
      <x:c r="B201" s="8" t="str">
        <x:v>142</x:v>
      </x:c>
      <x:c r="C201" s="8" t="str">
        <x:v>K11:11</x:v>
      </x:c>
      <x:c r="D201" s="8" t="str">
        <x:v>XT5:3</x:v>
      </x:c>
      <x:c r="E201" s="8" t="str">
        <x:v>0,75 мм²</x:v>
      </x:c>
      <x:c r="F201" s="8" t="str">
        <x:v>красный</x:v>
      </x:c>
      <x:c r="G201" s="8" t="str">
        <x:v>ШС1</x:v>
      </x:c>
      <x:c r="H201" s="8" t="str">
        <x:v>Провод</x:v>
      </x:c>
      <x:c r="I201" s="8" t="str"/>
      <x:c r="J201" s="9"/>
    </x:row>
    <x:row r="202" ht="31" hidden="0" customHeight="1">
      <x:c r="A202" s="8" t="n">
        <x:v>198</x:v>
      </x:c>
      <x:c r="B202" s="8" t="str">
        <x:v>143</x:v>
      </x:c>
      <x:c r="C202" s="8" t="str">
        <x:v>K11:14</x:v>
      </x:c>
      <x:c r="D202" s="8" t="str">
        <x:v>XT5:4</x:v>
      </x:c>
      <x:c r="E202" s="8" t="str">
        <x:v>0,75 мм²</x:v>
      </x:c>
      <x:c r="F202" s="8" t="str">
        <x:v>красный</x:v>
      </x:c>
      <x:c r="G202" s="8" t="str">
        <x:v>ШС1</x:v>
      </x:c>
      <x:c r="H202" s="8" t="str">
        <x:v>Провод</x:v>
      </x:c>
      <x:c r="I202" s="8" t="str"/>
      <x:c r="J202" s="9"/>
    </x:row>
    <x:row r="203" ht="31" hidden="0" customHeight="1">
      <x:c r="A203" s="8" t="n">
        <x:v>199</x:v>
      </x:c>
      <x:c r="B203" s="8" t="str">
        <x:v>144</x:v>
      </x:c>
      <x:c r="C203" s="8" t="str">
        <x:v>K12:11</x:v>
      </x:c>
      <x:c r="D203" s="8" t="str">
        <x:v>XT5:5</x:v>
      </x:c>
      <x:c r="E203" s="8" t="str">
        <x:v>0,75 мм²</x:v>
      </x:c>
      <x:c r="F203" s="8" t="str">
        <x:v>красный</x:v>
      </x:c>
      <x:c r="G203" s="8" t="str">
        <x:v>ШС1</x:v>
      </x:c>
      <x:c r="H203" s="8" t="str">
        <x:v>Провод</x:v>
      </x:c>
      <x:c r="I203" s="8" t="str"/>
      <x:c r="J203" s="9"/>
    </x:row>
    <x:row r="204" ht="31" hidden="0" customHeight="1">
      <x:c r="A204" s="8" t="n">
        <x:v>200</x:v>
      </x:c>
      <x:c r="B204" s="8" t="str">
        <x:v>145</x:v>
      </x:c>
      <x:c r="C204" s="8" t="str">
        <x:v>K12:14</x:v>
      </x:c>
      <x:c r="D204" s="8" t="str">
        <x:v>XT5:6</x:v>
      </x:c>
      <x:c r="E204" s="8" t="str">
        <x:v>0,75 мм²</x:v>
      </x:c>
      <x:c r="F204" s="8" t="str">
        <x:v>красный</x:v>
      </x:c>
      <x:c r="G204" s="8" t="str">
        <x:v>ШС1</x:v>
      </x:c>
      <x:c r="H204" s="8" t="str">
        <x:v>Провод</x:v>
      </x:c>
      <x:c r="I204" s="8" t="str"/>
      <x:c r="J204" s="9"/>
    </x:row>
    <x:row r="205" ht="31" hidden="0" customHeight="1">
      <x:c r="A205" s="8" t="n">
        <x:v>201</x:v>
      </x:c>
      <x:c r="B205" s="8" t="str">
        <x:v>150</x:v>
      </x:c>
      <x:c r="C205" s="8" t="str">
        <x:v>K8:21</x:v>
      </x:c>
      <x:c r="D205" s="8" t="str">
        <x:v>K14:11</x:v>
      </x:c>
      <x:c r="E205" s="8" t="str">
        <x:v>0,75 мм²</x:v>
      </x:c>
      <x:c r="F205" s="8" t="str">
        <x:v>красный</x:v>
      </x:c>
      <x:c r="G205" s="8" t="str">
        <x:v>ШС1</x:v>
      </x:c>
      <x:c r="H205" s="8" t="str">
        <x:v>Провод</x:v>
      </x:c>
      <x:c r="I205" s="8" t="str"/>
      <x:c r="J205" s="9"/>
    </x:row>
    <x:row r="206" ht="31" hidden="0" customHeight="1">
      <x:c r="A206" s="8" t="n">
        <x:v>202</x:v>
      </x:c>
      <x:c r="B206" s="8" t="str">
        <x:v>150</x:v>
      </x:c>
      <x:c r="C206" s="8" t="str">
        <x:v>K9:21</x:v>
      </x:c>
      <x:c r="D206" s="8" t="str">
        <x:v>K13:11</x:v>
      </x:c>
      <x:c r="E206" s="8" t="str">
        <x:v>0,75 мм²</x:v>
      </x:c>
      <x:c r="F206" s="8" t="str">
        <x:v>красный</x:v>
      </x:c>
      <x:c r="G206" s="8" t="str">
        <x:v>ШС1</x:v>
      </x:c>
      <x:c r="H206" s="8" t="str">
        <x:v>Провод</x:v>
      </x:c>
      <x:c r="I206" s="8" t="str"/>
      <x:c r="J206" s="9"/>
    </x:row>
    <x:row r="207" ht="31" hidden="0" customHeight="1">
      <x:c r="A207" s="8" t="n">
        <x:v>203</x:v>
      </x:c>
      <x:c r="B207" s="8" t="str">
        <x:v>150</x:v>
      </x:c>
      <x:c r="C207" s="8" t="str">
        <x:v>K13:11</x:v>
      </x:c>
      <x:c r="D207" s="8" t="str">
        <x:v>K8:21</x:v>
      </x:c>
      <x:c r="E207" s="8" t="str">
        <x:v>0,75 мм²</x:v>
      </x:c>
      <x:c r="F207" s="8" t="str">
        <x:v>красный</x:v>
      </x:c>
      <x:c r="G207" s="8" t="str">
        <x:v>ШС1</x:v>
      </x:c>
      <x:c r="H207" s="8" t="str">
        <x:v>Провод</x:v>
      </x:c>
      <x:c r="I207" s="8" t="str"/>
      <x:c r="J207" s="9"/>
    </x:row>
    <x:row r="208" ht="31" hidden="0" customHeight="1">
      <x:c r="A208" s="8" t="n">
        <x:v>204</x:v>
      </x:c>
      <x:c r="B208" s="8" t="str">
        <x:v>150</x:v>
      </x:c>
      <x:c r="C208" s="8" t="str">
        <x:v>XT11:3</x:v>
      </x:c>
      <x:c r="D208" s="8" t="str">
        <x:v>K9:21</x:v>
      </x:c>
      <x:c r="E208" s="8" t="str">
        <x:v>0,75 мм²</x:v>
      </x:c>
      <x:c r="F208" s="8" t="str">
        <x:v>красный</x:v>
      </x:c>
      <x:c r="G208" s="8" t="str">
        <x:v>ШС1</x:v>
      </x:c>
      <x:c r="H208" s="8" t="str">
        <x:v>Провод</x:v>
      </x:c>
      <x:c r="I208" s="8" t="str"/>
      <x:c r="J208" s="9"/>
    </x:row>
    <x:row r="209" ht="31" hidden="0" customHeight="1">
      <x:c r="A209" s="8" t="n">
        <x:v>205</x:v>
      </x:c>
      <x:c r="B209" s="8" t="str">
        <x:v>151</x:v>
      </x:c>
      <x:c r="C209" s="8" t="str">
        <x:v>K9:24</x:v>
      </x:c>
      <x:c r="D209" s="8" t="str">
        <x:v>XT11:4</x:v>
      </x:c>
      <x:c r="E209" s="8" t="str">
        <x:v>0,75 мм²</x:v>
      </x:c>
      <x:c r="F209" s="8" t="str">
        <x:v>красный</x:v>
      </x:c>
      <x:c r="G209" s="8" t="str">
        <x:v>ШС1</x:v>
      </x:c>
      <x:c r="H209" s="8" t="str">
        <x:v>Провод</x:v>
      </x:c>
      <x:c r="I209" s="8" t="str"/>
      <x:c r="J209" s="9"/>
    </x:row>
    <x:row r="210" ht="31" hidden="0" customHeight="1">
      <x:c r="A210" s="8" t="n">
        <x:v>206</x:v>
      </x:c>
      <x:c r="B210" s="8" t="str">
        <x:v>152</x:v>
      </x:c>
      <x:c r="C210" s="8" t="str">
        <x:v>K13:14</x:v>
      </x:c>
      <x:c r="D210" s="8" t="str">
        <x:v>XT11:5</x:v>
      </x:c>
      <x:c r="E210" s="8" t="str">
        <x:v>0,75 мм²</x:v>
      </x:c>
      <x:c r="F210" s="8" t="str">
        <x:v>красный</x:v>
      </x:c>
      <x:c r="G210" s="8" t="str">
        <x:v>ШС1</x:v>
      </x:c>
      <x:c r="H210" s="8" t="str">
        <x:v>Провод</x:v>
      </x:c>
      <x:c r="I210" s="8" t="str"/>
      <x:c r="J210" s="9"/>
    </x:row>
    <x:row r="211" ht="31" hidden="0" customHeight="1">
      <x:c r="A211" s="8" t="n">
        <x:v>207</x:v>
      </x:c>
      <x:c r="B211" s="8" t="str">
        <x:v>153</x:v>
      </x:c>
      <x:c r="C211" s="8" t="str">
        <x:v>K8:24</x:v>
      </x:c>
      <x:c r="D211" s="8" t="str">
        <x:v>XT11:6</x:v>
      </x:c>
      <x:c r="E211" s="8" t="str">
        <x:v>0,75 мм²</x:v>
      </x:c>
      <x:c r="F211" s="8" t="str">
        <x:v>красный</x:v>
      </x:c>
      <x:c r="G211" s="8" t="str">
        <x:v>ШС1</x:v>
      </x:c>
      <x:c r="H211" s="8" t="str">
        <x:v>Провод</x:v>
      </x:c>
      <x:c r="I211" s="8" t="str"/>
      <x:c r="J211" s="9"/>
    </x:row>
    <x:row r="212" ht="31" hidden="0" customHeight="1">
      <x:c r="A212" s="8" t="n">
        <x:v>208</x:v>
      </x:c>
      <x:c r="B212" s="8" t="str">
        <x:v>154</x:v>
      </x:c>
      <x:c r="C212" s="8" t="str">
        <x:v>K14:14</x:v>
      </x:c>
      <x:c r="D212" s="8" t="str">
        <x:v>XT11:7</x:v>
      </x:c>
      <x:c r="E212" s="8" t="str">
        <x:v>0,75 мм²</x:v>
      </x:c>
      <x:c r="F212" s="8" t="str">
        <x:v>красный</x:v>
      </x:c>
      <x:c r="G212" s="8" t="str">
        <x:v>ШС1</x:v>
      </x:c>
      <x:c r="H212" s="8" t="str">
        <x:v>Провод</x:v>
      </x:c>
      <x:c r="I212" s="8" t="str"/>
      <x:c r="J212" s="9"/>
    </x:row>
    <x:row r="213" ht="31" hidden="0" customHeight="1">
      <x:c r="A213" s="8" t="n">
        <x:v>209</x:v>
      </x:c>
      <x:c r="B213" s="8" t="str">
        <x:v>155</x:v>
      </x:c>
      <x:c r="C213" s="8" t="str">
        <x:v>FU7:2</x:v>
      </x:c>
      <x:c r="D213" s="8" t="str">
        <x:v>KSR1:13</x:v>
      </x:c>
      <x:c r="E213" s="8" t="str">
        <x:v>0,75 мм²</x:v>
      </x:c>
      <x:c r="F213" s="8" t="str">
        <x:v>красный</x:v>
      </x:c>
      <x:c r="G213" s="8" t="str">
        <x:v>ШС1</x:v>
      </x:c>
      <x:c r="H213" s="8" t="str">
        <x:v>Провод</x:v>
      </x:c>
      <x:c r="I213" s="8" t="str"/>
      <x:c r="J213" s="9"/>
    </x:row>
    <x:row r="214" ht="31" hidden="0" customHeight="1">
      <x:c r="A214" s="8" t="n">
        <x:v>210</x:v>
      </x:c>
      <x:c r="B214" s="8" t="str">
        <x:v>156</x:v>
      </x:c>
      <x:c r="C214" s="8" t="str">
        <x:v>FU8:2</x:v>
      </x:c>
      <x:c r="D214" s="8" t="str">
        <x:v>KSR1:23</x:v>
      </x:c>
      <x:c r="E214" s="8" t="str">
        <x:v>0,75 мм²</x:v>
      </x:c>
      <x:c r="F214" s="8" t="str">
        <x:v>красный</x:v>
      </x:c>
      <x:c r="G214" s="8" t="str">
        <x:v>ШС1</x:v>
      </x:c>
      <x:c r="H214" s="8" t="str">
        <x:v>Провод</x:v>
      </x:c>
      <x:c r="I214" s="8" t="str"/>
      <x:c r="J214" s="9"/>
    </x:row>
    <x:row r="215" ht="31" hidden="0" customHeight="1">
      <x:c r="A215" s="8" t="n">
        <x:v>211</x:v>
      </x:c>
      <x:c r="B215" s="8" t="str">
        <x:v>157</x:v>
      </x:c>
      <x:c r="C215" s="8" t="str">
        <x:v>FU9:2</x:v>
      </x:c>
      <x:c r="D215" s="8" t="str">
        <x:v>KSR1:33</x:v>
      </x:c>
      <x:c r="E215" s="8" t="str">
        <x:v>0,75 мм²</x:v>
      </x:c>
      <x:c r="F215" s="8" t="str">
        <x:v>красный</x:v>
      </x:c>
      <x:c r="G215" s="8" t="str">
        <x:v>ШС1</x:v>
      </x:c>
      <x:c r="H215" s="8" t="str">
        <x:v>Провод</x:v>
      </x:c>
      <x:c r="I215" s="8" t="str">
        <x:v>У KSR1 провод 0,75 мм²: диапазон его зажимов 0,25–1,5 мм².</x:v>
      </x:c>
      <x:c r="J215" s="9"/>
    </x:row>
    <x:row r="216" ht="31" hidden="0" customHeight="1">
      <x:c r="A216" s="8" t="n">
        <x:v>212</x:v>
      </x:c>
      <x:c r="B216" s="8" t="str">
        <x:v>158</x:v>
      </x:c>
      <x:c r="C216" s="8" t="str">
        <x:v>FU10:2</x:v>
      </x:c>
      <x:c r="D216" s="8" t="str">
        <x:v>KSR1:43</x:v>
      </x:c>
      <x:c r="E216" s="8" t="str">
        <x:v>0,75 мм²</x:v>
      </x:c>
      <x:c r="F216" s="8" t="str">
        <x:v>красный</x:v>
      </x:c>
      <x:c r="G216" s="8" t="str">
        <x:v>ШС1</x:v>
      </x:c>
      <x:c r="H216" s="8" t="str">
        <x:v>Провод</x:v>
      </x:c>
      <x:c r="I216" s="8" t="str">
        <x:v>У KSR1 провод 0,75 мм²: диапазон его зажимов 0,25–1,5 мм².</x:v>
      </x:c>
      <x:c r="J216" s="9"/>
    </x:row>
    <x:row r="217" ht="31" hidden="0" customHeight="1">
      <x:c r="A217" s="8" t="n">
        <x:v>213</x:v>
      </x:c>
      <x:c r="B217" s="8" t="str">
        <x:v>A1</x:v>
      </x:c>
      <x:c r="C217" s="8" t="str">
        <x:v>QS1:1</x:v>
      </x:c>
      <x:c r="D217" s="8" t="str">
        <x:v>XT1:1</x:v>
      </x:c>
      <x:c r="E217" s="8" t="str">
        <x:v>6 мм²</x:v>
      </x:c>
      <x:c r="F217" s="8" t="str">
        <x:v>белый</x:v>
      </x:c>
      <x:c r="G217" s="8" t="str">
        <x:v>ШС1</x:v>
      </x:c>
      <x:c r="H217" s="8" t="str">
        <x:v>Провод</x:v>
      </x:c>
      <x:c r="I217" s="8" t="str"/>
      <x:c r="J217" s="9"/>
    </x:row>
    <x:row r="218" ht="31" hidden="0" customHeight="1">
      <x:c r="A218" s="8" t="n">
        <x:v>214</x:v>
      </x:c>
      <x:c r="B218" s="8" t="str">
        <x:v>A2</x:v>
      </x:c>
      <x:c r="C218" s="8" t="str">
        <x:v>QF0:1</x:v>
      </x:c>
      <x:c r="D218" s="8" t="str">
        <x:v>QS1:2</x:v>
      </x:c>
      <x:c r="E218" s="8" t="str">
        <x:v>6 мм²</x:v>
      </x:c>
      <x:c r="F218" s="8" t="str">
        <x:v>белый</x:v>
      </x:c>
      <x:c r="G218" s="8" t="str">
        <x:v>ШС1</x:v>
      </x:c>
      <x:c r="H218" s="8" t="str">
        <x:v>Провод</x:v>
      </x:c>
      <x:c r="I218" s="8" t="str"/>
      <x:c r="J218" s="9"/>
    </x:row>
    <x:row r="219" ht="31" hidden="0" customHeight="1">
      <x:c r="A219" s="8" t="n">
        <x:v>215</x:v>
      </x:c>
      <x:c r="B219" s="8" t="str">
        <x:v>A3</x:v>
      </x:c>
      <x:c r="C219" s="8" t="str">
        <x:v>QF0:2</x:v>
      </x:c>
      <x:c r="D219" s="8" t="str">
        <x:v>XL1:IN</x:v>
      </x:c>
      <x:c r="E219" s="8" t="str">
        <x:v>6 мм²</x:v>
      </x:c>
      <x:c r="F219" s="8" t="str">
        <x:v>белый</x:v>
      </x:c>
      <x:c r="G219" s="8" t="str">
        <x:v>ШС1</x:v>
      </x:c>
      <x:c r="H219" s="8" t="str">
        <x:v>Провод</x:v>
      </x:c>
      <x:c r="I219" s="8" t="str">
        <x:v>IEK РБД-160А; ввод Cu 6 мм². IN/O — проектные номера зажимов.</x:v>
      </x:c>
      <x:c r="J219" s="9"/>
    </x:row>
    <x:row r="220" ht="31" hidden="0" customHeight="1">
      <x:c r="A220" s="8" t="n">
        <x:v>216</x:v>
      </x:c>
      <x:c r="B220" s="8" t="str">
        <x:v>A3</x:v>
      </x:c>
      <x:c r="C220" s="8" t="str">
        <x:v>XL1:O1</x:v>
      </x:c>
      <x:c r="D220" s="8" t="str">
        <x:v>QF1:1</x:v>
      </x:c>
      <x:c r="E220" s="8" t="str">
        <x:v>6 мм²</x:v>
      </x:c>
      <x:c r="F220" s="8" t="str">
        <x:v>белый</x:v>
      </x:c>
      <x:c r="G220" s="8" t="str">
        <x:v>ШС1</x:v>
      </x:c>
      <x:c r="H220" s="8" t="str">
        <x:v>Провод</x:v>
      </x:c>
      <x:c r="I220" s="8" t="str">
        <x:v>РБД-160А; провод Cu 6 мм². O — проектный номер зажима.</x:v>
      </x:c>
      <x:c r="J220" s="9"/>
    </x:row>
    <x:row r="221" ht="31" hidden="0" customHeight="1">
      <x:c r="A221" s="8" t="n">
        <x:v>217</x:v>
      </x:c>
      <x:c r="B221" s="8" t="str">
        <x:v>A3</x:v>
      </x:c>
      <x:c r="C221" s="8" t="str">
        <x:v>XL1:O2</x:v>
      </x:c>
      <x:c r="D221" s="8" t="str">
        <x:v>QF4:1</x:v>
      </x:c>
      <x:c r="E221" s="8" t="str">
        <x:v>6 мм²</x:v>
      </x:c>
      <x:c r="F221" s="8" t="str">
        <x:v>белый</x:v>
      </x:c>
      <x:c r="G221" s="8" t="str">
        <x:v>ШС1</x:v>
      </x:c>
      <x:c r="H221" s="8" t="str">
        <x:v>Провод</x:v>
      </x:c>
      <x:c r="I221" s="8" t="str">
        <x:v>РБД-160А; провод Cu 6 мм². O — проектный номер зажима.</x:v>
      </x:c>
      <x:c r="J221" s="9"/>
    </x:row>
    <x:row r="222" ht="31" hidden="0" customHeight="1">
      <x:c r="A222" s="8" t="n">
        <x:v>218</x:v>
      </x:c>
      <x:c r="B222" s="8" t="str">
        <x:v>A3</x:v>
      </x:c>
      <x:c r="C222" s="8" t="str">
        <x:v>XL1:O3</x:v>
      </x:c>
      <x:c r="D222" s="8" t="str">
        <x:v>QFD1:L.in</x:v>
      </x:c>
      <x:c r="E222" s="8" t="str">
        <x:v>6 мм²</x:v>
      </x:c>
      <x:c r="F222" s="8" t="str">
        <x:v>белый</x:v>
      </x:c>
      <x:c r="G222" s="8" t="str">
        <x:v>ШС1</x:v>
      </x:c>
      <x:c r="H222" s="8" t="str">
        <x:v>Провод</x:v>
      </x:c>
      <x:c r="I222" s="8" t="str">
        <x:v>РБД-160А; провод Cu 6 мм². O — проектный номер зажима.</x:v>
      </x:c>
      <x:c r="J222" s="9"/>
    </x:row>
    <x:row r="223" ht="31" hidden="0" customHeight="1">
      <x:c r="A223" s="8" t="n">
        <x:v>219</x:v>
      </x:c>
      <x:c r="B223" s="8" t="str">
        <x:v>A3</x:v>
      </x:c>
      <x:c r="C223" s="8" t="str">
        <x:v>XL1:O4</x:v>
      </x:c>
      <x:c r="D223" s="8" t="str">
        <x:v>FV1:L1</x:v>
      </x:c>
      <x:c r="E223" s="8" t="str">
        <x:v>6 мм²</x:v>
      </x:c>
      <x:c r="F223" s="8" t="str">
        <x:v>белый</x:v>
      </x:c>
      <x:c r="G223" s="8" t="str">
        <x:v>ШС1</x:v>
      </x:c>
      <x:c r="H223" s="8" t="str">
        <x:v>Провод</x:v>
      </x:c>
      <x:c r="I223" s="8" t="str">
        <x:v>РБД-160А; провод Cu 6 мм². O — проектный номер зажима.</x:v>
      </x:c>
      <x:c r="J223" s="9"/>
    </x:row>
    <x:row r="224" ht="31" hidden="0" customHeight="1">
      <x:c r="A224" s="8" t="n">
        <x:v>220</x:v>
      </x:c>
      <x:c r="B224" s="8" t="str">
        <x:v>A4</x:v>
      </x:c>
      <x:c r="C224" s="8" t="str">
        <x:v>KM1:1/L1</x:v>
      </x:c>
      <x:c r="D224" s="8" t="str">
        <x:v>QF1:2</x:v>
      </x:c>
      <x:c r="E224" s="8" t="str">
        <x:v>6 мм²</x:v>
      </x:c>
      <x:c r="F224" s="8" t="str">
        <x:v>белый</x:v>
      </x:c>
      <x:c r="G224" s="8" t="str">
        <x:v>ШС1</x:v>
      </x:c>
      <x:c r="H224" s="8" t="str">
        <x:v>Провод</x:v>
      </x:c>
      <x:c r="I224" s="8" t="str"/>
      <x:c r="J224" s="9"/>
    </x:row>
    <x:row r="225" ht="31" hidden="0" customHeight="1">
      <x:c r="A225" s="8" t="n">
        <x:v>221</x:v>
      </x:c>
      <x:c r="B225" s="8" t="str">
        <x:v>A5</x:v>
      </x:c>
      <x:c r="C225" s="8" t="str">
        <x:v>KM1:2/T1</x:v>
      </x:c>
      <x:c r="D225" s="8" t="str">
        <x:v>UZ1:R/L1</x:v>
      </x:c>
      <x:c r="E225" s="8" t="str">
        <x:v>6 мм²</x:v>
      </x:c>
      <x:c r="F225" s="8" t="str">
        <x:v>белый</x:v>
      </x:c>
      <x:c r="G225" s="8" t="str">
        <x:v>ШС1</x:v>
      </x:c>
      <x:c r="H225" s="8" t="str">
        <x:v>Провод</x:v>
      </x:c>
      <x:c r="I225" s="8" t="str"/>
      <x:c r="J225" s="9"/>
    </x:row>
    <x:row r="226" ht="31" hidden="0" customHeight="1">
      <x:c r="A226" s="8" t="n">
        <x:v>222</x:v>
      </x:c>
      <x:c r="B226" s="8" t="str">
        <x:v>A6</x:v>
      </x:c>
      <x:c r="C226" s="8" t="str">
        <x:v>UZ1:U/T1</x:v>
      </x:c>
      <x:c r="D226" s="8" t="str">
        <x:v>XT10:1</x:v>
      </x:c>
      <x:c r="E226" s="8" t="str">
        <x:v>6 мм²</x:v>
      </x:c>
      <x:c r="F226" s="8" t="str">
        <x:v>белый</x:v>
      </x:c>
      <x:c r="G226" s="8" t="str">
        <x:v>ШС1</x:v>
      </x:c>
      <x:c r="H226" s="8" t="str">
        <x:v>Провод</x:v>
      </x:c>
      <x:c r="I226" s="8" t="str"/>
      <x:c r="J226" s="9"/>
    </x:row>
    <x:row r="227" ht="31" hidden="0" customHeight="1">
      <x:c r="A227" s="8" t="n">
        <x:v>223</x:v>
      </x:c>
      <x:c r="B227" s="8" t="str">
        <x:v>A9</x:v>
      </x:c>
      <x:c r="C227" s="8" t="str">
        <x:v>QF4:2</x:v>
      </x:c>
      <x:c r="D227" s="8" t="str">
        <x:v>HL0:L</x:v>
      </x:c>
      <x:c r="E227" s="8" t="str">
        <x:v>2,5 мм²</x:v>
      </x:c>
      <x:c r="F227" s="8" t="str">
        <x:v>белый</x:v>
      </x:c>
      <x:c r="G227" s="8" t="str">
        <x:v>ШС1</x:v>
      </x:c>
      <x:c r="H227" s="8" t="str">
        <x:v>Провод</x:v>
      </x:c>
      <x:c r="I227" s="8" t="str"/>
      <x:c r="J227" s="9"/>
    </x:row>
    <x:row r="228" ht="31" hidden="0" customHeight="1">
      <x:c r="A228" s="8" t="n">
        <x:v>224</x:v>
      </x:c>
      <x:c r="B228" s="8" t="str">
        <x:v>A9</x:v>
      </x:c>
      <x:c r="C228" s="8" t="str">
        <x:v>QF4:2</x:v>
      </x:c>
      <x:c r="D228" s="8" t="str">
        <x:v>SK1:1</x:v>
      </x:c>
      <x:c r="E228" s="8" t="str">
        <x:v>2,5 мм²</x:v>
      </x:c>
      <x:c r="F228" s="8" t="str">
        <x:v>белый</x:v>
      </x:c>
      <x:c r="G228" s="8" t="str">
        <x:v>ШС1</x:v>
      </x:c>
      <x:c r="H228" s="8" t="str">
        <x:v>Провод</x:v>
      </x:c>
      <x:c r="I228" s="8" t="str"/>
      <x:c r="J228" s="9"/>
    </x:row>
    <x:row r="229" ht="31" hidden="0" customHeight="1">
      <x:c r="A229" s="8" t="n">
        <x:v>225</x:v>
      </x:c>
      <x:c r="B229" s="8" t="str">
        <x:v>A11</x:v>
      </x:c>
      <x:c r="C229" s="8" t="str">
        <x:v>M2:L</x:v>
      </x:c>
      <x:c r="D229" s="8" t="str">
        <x:v>SK1:2</x:v>
      </x:c>
      <x:c r="E229" s="8" t="str">
        <x:v>2,5 мм²</x:v>
      </x:c>
      <x:c r="F229" s="8" t="str">
        <x:v>белый</x:v>
      </x:c>
      <x:c r="G229" s="8" t="str">
        <x:v>ШС1</x:v>
      </x:c>
      <x:c r="H229" s="8" t="str">
        <x:v>Провод</x:v>
      </x:c>
      <x:c r="I229" s="8" t="str"/>
      <x:c r="J229" s="9"/>
    </x:row>
    <x:row r="230" ht="31" hidden="0" customHeight="1">
      <x:c r="A230" s="8" t="n">
        <x:v>226</x:v>
      </x:c>
      <x:c r="B230" s="8" t="str">
        <x:v>A13</x:v>
      </x:c>
      <x:c r="C230" s="8" t="str">
        <x:v>QFD1:L.out</x:v>
      </x:c>
      <x:c r="D230" s="8" t="str">
        <x:v>XS1:L</x:v>
      </x:c>
      <x:c r="E230" s="8" t="str">
        <x:v>2,5 мм²</x:v>
      </x:c>
      <x:c r="F230" s="8" t="str">
        <x:v>белый</x:v>
      </x:c>
      <x:c r="G230" s="8" t="str">
        <x:v>ШС1</x:v>
      </x:c>
      <x:c r="H230" s="8" t="str">
        <x:v>Провод</x:v>
      </x:c>
      <x:c r="I230" s="8" t="str">
        <x:v>Функциональное имя вывода</x:v>
      </x:c>
      <x:c r="J230" s="9"/>
    </x:row>
    <x:row r="231" ht="31" hidden="0" customHeight="1">
      <x:c r="A231" s="8" t="n">
        <x:v>227</x:v>
      </x:c>
      <x:c r="B231" s="8" t="str">
        <x:v>B1</x:v>
      </x:c>
      <x:c r="C231" s="8" t="str">
        <x:v>QS1:3</x:v>
      </x:c>
      <x:c r="D231" s="8" t="str">
        <x:v>XT1:2</x:v>
      </x:c>
      <x:c r="E231" s="8" t="str">
        <x:v>6 мм²</x:v>
      </x:c>
      <x:c r="F231" s="8" t="str">
        <x:v>белый</x:v>
      </x:c>
      <x:c r="G231" s="8" t="str">
        <x:v>ШС1</x:v>
      </x:c>
      <x:c r="H231" s="8" t="str">
        <x:v>Провод</x:v>
      </x:c>
      <x:c r="I231" s="8" t="str"/>
      <x:c r="J231" s="9"/>
    </x:row>
    <x:row r="232" ht="31" hidden="0" customHeight="1">
      <x:c r="A232" s="8" t="n">
        <x:v>228</x:v>
      </x:c>
      <x:c r="B232" s="8" t="str">
        <x:v>B2</x:v>
      </x:c>
      <x:c r="C232" s="8" t="str">
        <x:v>QF0:3</x:v>
      </x:c>
      <x:c r="D232" s="8" t="str">
        <x:v>QS1:4</x:v>
      </x:c>
      <x:c r="E232" s="8" t="str">
        <x:v>6 мм²</x:v>
      </x:c>
      <x:c r="F232" s="8" t="str">
        <x:v>белый</x:v>
      </x:c>
      <x:c r="G232" s="8" t="str">
        <x:v>ШС1</x:v>
      </x:c>
      <x:c r="H232" s="8" t="str">
        <x:v>Провод</x:v>
      </x:c>
      <x:c r="I232" s="8" t="str"/>
      <x:c r="J232" s="9"/>
    </x:row>
    <x:row r="233" ht="31" hidden="0" customHeight="1">
      <x:c r="A233" s="8" t="n">
        <x:v>229</x:v>
      </x:c>
      <x:c r="B233" s="8" t="str">
        <x:v>B3</x:v>
      </x:c>
      <x:c r="C233" s="8" t="str">
        <x:v>QF0:4</x:v>
      </x:c>
      <x:c r="D233" s="8" t="str">
        <x:v>XL2:IN</x:v>
      </x:c>
      <x:c r="E233" s="8" t="str">
        <x:v>6 мм²</x:v>
      </x:c>
      <x:c r="F233" s="8" t="str">
        <x:v>белый</x:v>
      </x:c>
      <x:c r="G233" s="8" t="str">
        <x:v>ШС1</x:v>
      </x:c>
      <x:c r="H233" s="8" t="str">
        <x:v>Провод</x:v>
      </x:c>
      <x:c r="I233" s="8" t="str">
        <x:v>IEK РБД-160А; ввод Cu 6 мм². IN/O — проектные номера зажимов.</x:v>
      </x:c>
      <x:c r="J233" s="9"/>
    </x:row>
    <x:row r="234" ht="31" hidden="0" customHeight="1">
      <x:c r="A234" s="8" t="n">
        <x:v>230</x:v>
      </x:c>
      <x:c r="B234" s="8" t="str">
        <x:v>B3</x:v>
      </x:c>
      <x:c r="C234" s="8" t="str">
        <x:v>XL2:O1</x:v>
      </x:c>
      <x:c r="D234" s="8" t="str">
        <x:v>QF1:3</x:v>
      </x:c>
      <x:c r="E234" s="8" t="str">
        <x:v>6 мм²</x:v>
      </x:c>
      <x:c r="F234" s="8" t="str">
        <x:v>белый</x:v>
      </x:c>
      <x:c r="G234" s="8" t="str">
        <x:v>ШС1</x:v>
      </x:c>
      <x:c r="H234" s="8" t="str">
        <x:v>Провод</x:v>
      </x:c>
      <x:c r="I234" s="8" t="str">
        <x:v>РБД-160А; провод Cu 6 мм². O — проектный номер зажима.</x:v>
      </x:c>
      <x:c r="J234" s="9"/>
    </x:row>
    <x:row r="235" ht="31" hidden="0" customHeight="1">
      <x:c r="A235" s="8" t="n">
        <x:v>231</x:v>
      </x:c>
      <x:c r="B235" s="8" t="str">
        <x:v>B3</x:v>
      </x:c>
      <x:c r="C235" s="8" t="str">
        <x:v>XL2:O2</x:v>
      </x:c>
      <x:c r="D235" s="8" t="str">
        <x:v>QF3:1</x:v>
      </x:c>
      <x:c r="E235" s="8" t="str">
        <x:v>6 мм²</x:v>
      </x:c>
      <x:c r="F235" s="8" t="str">
        <x:v>белый</x:v>
      </x:c>
      <x:c r="G235" s="8" t="str">
        <x:v>ШС1</x:v>
      </x:c>
      <x:c r="H235" s="8" t="str">
        <x:v>Провод</x:v>
      </x:c>
      <x:c r="I235" s="8" t="str">
        <x:v>РБД-160А; провод Cu 6 мм². O — проектный номер зажима.</x:v>
      </x:c>
      <x:c r="J235" s="9"/>
    </x:row>
    <x:row r="236" ht="31" hidden="0" customHeight="1">
      <x:c r="A236" s="8" t="n">
        <x:v>232</x:v>
      </x:c>
      <x:c r="B236" s="8" t="str">
        <x:v>B3</x:v>
      </x:c>
      <x:c r="C236" s="8" t="str">
        <x:v>XL2:O3</x:v>
      </x:c>
      <x:c r="D236" s="8" t="str">
        <x:v>FV1:L2</x:v>
      </x:c>
      <x:c r="E236" s="8" t="str">
        <x:v>6 мм²</x:v>
      </x:c>
      <x:c r="F236" s="8" t="str">
        <x:v>белый</x:v>
      </x:c>
      <x:c r="G236" s="8" t="str">
        <x:v>ШС1</x:v>
      </x:c>
      <x:c r="H236" s="8" t="str">
        <x:v>Провод</x:v>
      </x:c>
      <x:c r="I236" s="8" t="str">
        <x:v>РБД-160А; провод Cu 6 мм². O — проектный номер зажима.</x:v>
      </x:c>
      <x:c r="J236" s="9"/>
    </x:row>
    <x:row r="237" ht="31" hidden="0" customHeight="1">
      <x:c r="A237" s="8" t="n">
        <x:v>233</x:v>
      </x:c>
      <x:c r="B237" s="8" t="str">
        <x:v>B4</x:v>
      </x:c>
      <x:c r="C237" s="8" t="str">
        <x:v>KM1:3/L2</x:v>
      </x:c>
      <x:c r="D237" s="8" t="str">
        <x:v>QF1:4</x:v>
      </x:c>
      <x:c r="E237" s="8" t="str">
        <x:v>6 мм²</x:v>
      </x:c>
      <x:c r="F237" s="8" t="str">
        <x:v>белый</x:v>
      </x:c>
      <x:c r="G237" s="8" t="str">
        <x:v>ШС1</x:v>
      </x:c>
      <x:c r="H237" s="8" t="str">
        <x:v>Провод</x:v>
      </x:c>
      <x:c r="I237" s="8" t="str"/>
      <x:c r="J237" s="9"/>
    </x:row>
    <x:row r="238" ht="31" hidden="0" customHeight="1">
      <x:c r="A238" s="8" t="n">
        <x:v>234</x:v>
      </x:c>
      <x:c r="B238" s="8" t="str">
        <x:v>B5</x:v>
      </x:c>
      <x:c r="C238" s="8" t="str">
        <x:v>KM1:4/T2</x:v>
      </x:c>
      <x:c r="D238" s="8" t="str">
        <x:v>UZ1:S/L2</x:v>
      </x:c>
      <x:c r="E238" s="8" t="str">
        <x:v>6 мм²</x:v>
      </x:c>
      <x:c r="F238" s="8" t="str">
        <x:v>белый</x:v>
      </x:c>
      <x:c r="G238" s="8" t="str">
        <x:v>ШС1</x:v>
      </x:c>
      <x:c r="H238" s="8" t="str">
        <x:v>Провод</x:v>
      </x:c>
      <x:c r="I238" s="8" t="str"/>
      <x:c r="J238" s="9"/>
    </x:row>
    <x:row r="239" ht="31" hidden="0" customHeight="1">
      <x:c r="A239" s="8" t="n">
        <x:v>235</x:v>
      </x:c>
      <x:c r="B239" s="8" t="str">
        <x:v>B6</x:v>
      </x:c>
      <x:c r="C239" s="8" t="str">
        <x:v>UZ1:V/T2</x:v>
      </x:c>
      <x:c r="D239" s="8" t="str">
        <x:v>XT10:2</x:v>
      </x:c>
      <x:c r="E239" s="8" t="str">
        <x:v>6 мм²</x:v>
      </x:c>
      <x:c r="F239" s="8" t="str">
        <x:v>белый</x:v>
      </x:c>
      <x:c r="G239" s="8" t="str">
        <x:v>ШС1</x:v>
      </x:c>
      <x:c r="H239" s="8" t="str">
        <x:v>Провод</x:v>
      </x:c>
      <x:c r="I239" s="8" t="str"/>
      <x:c r="J239" s="9"/>
    </x:row>
    <x:row r="240" ht="31" hidden="0" customHeight="1">
      <x:c r="A240" s="8" t="n">
        <x:v>236</x:v>
      </x:c>
      <x:c r="B240" s="8" t="str">
        <x:v>B7</x:v>
      </x:c>
      <x:c r="C240" s="8" t="str">
        <x:v>G1:L</x:v>
      </x:c>
      <x:c r="D240" s="8" t="str">
        <x:v>QF3:2</x:v>
      </x:c>
      <x:c r="E240" s="8" t="str">
        <x:v>2,5 мм²</x:v>
      </x:c>
      <x:c r="F240" s="8" t="str">
        <x:v>белый</x:v>
      </x:c>
      <x:c r="G240" s="8" t="str">
        <x:v>ШС1</x:v>
      </x:c>
      <x:c r="H240" s="8" t="str">
        <x:v>Провод</x:v>
      </x:c>
      <x:c r="I240" s="8" t="str"/>
      <x:c r="J240" s="9"/>
    </x:row>
    <x:row r="241" ht="31" hidden="0" customHeight="1">
      <x:c r="A241" s="8" t="n">
        <x:v>237</x:v>
      </x:c>
      <x:c r="B241" s="8" t="str">
        <x:v>C1</x:v>
      </x:c>
      <x:c r="C241" s="8" t="str">
        <x:v>QS1:5</x:v>
      </x:c>
      <x:c r="D241" s="8" t="str">
        <x:v>XT1:3</x:v>
      </x:c>
      <x:c r="E241" s="8" t="str">
        <x:v>6 мм²</x:v>
      </x:c>
      <x:c r="F241" s="8" t="str">
        <x:v>белый</x:v>
      </x:c>
      <x:c r="G241" s="8" t="str">
        <x:v>ШС1</x:v>
      </x:c>
      <x:c r="H241" s="8" t="str">
        <x:v>Провод</x:v>
      </x:c>
      <x:c r="I241" s="8" t="str"/>
      <x:c r="J241" s="9"/>
    </x:row>
    <x:row r="242" ht="31" hidden="0" customHeight="1">
      <x:c r="A242" s="8" t="n">
        <x:v>238</x:v>
      </x:c>
      <x:c r="B242" s="8" t="str">
        <x:v>C2</x:v>
      </x:c>
      <x:c r="C242" s="8" t="str">
        <x:v>QF0:5</x:v>
      </x:c>
      <x:c r="D242" s="8" t="str">
        <x:v>QS1:6</x:v>
      </x:c>
      <x:c r="E242" s="8" t="str">
        <x:v>6 мм²</x:v>
      </x:c>
      <x:c r="F242" s="8" t="str">
        <x:v>белый</x:v>
      </x:c>
      <x:c r="G242" s="8" t="str">
        <x:v>ШС1</x:v>
      </x:c>
      <x:c r="H242" s="8" t="str">
        <x:v>Провод</x:v>
      </x:c>
      <x:c r="I242" s="8" t="str"/>
      <x:c r="J242" s="9"/>
    </x:row>
    <x:row r="243" ht="31" hidden="0" customHeight="1">
      <x:c r="A243" s="8" t="n">
        <x:v>239</x:v>
      </x:c>
      <x:c r="B243" s="8" t="str">
        <x:v>C3</x:v>
      </x:c>
      <x:c r="C243" s="8" t="str">
        <x:v>QF0:6</x:v>
      </x:c>
      <x:c r="D243" s="8" t="str">
        <x:v>XL3:IN</x:v>
      </x:c>
      <x:c r="E243" s="8" t="str">
        <x:v>6 мм²</x:v>
      </x:c>
      <x:c r="F243" s="8" t="str">
        <x:v>белый</x:v>
      </x:c>
      <x:c r="G243" s="8" t="str">
        <x:v>ШС1</x:v>
      </x:c>
      <x:c r="H243" s="8" t="str">
        <x:v>Провод</x:v>
      </x:c>
      <x:c r="I243" s="8" t="str">
        <x:v>IEK РБД-160А; ввод Cu 6 мм². IN/O — проектные номера зажимов.</x:v>
      </x:c>
      <x:c r="J243" s="9"/>
    </x:row>
    <x:row r="244" ht="31" hidden="0" customHeight="1">
      <x:c r="A244" s="8" t="n">
        <x:v>240</x:v>
      </x:c>
      <x:c r="B244" s="8" t="str">
        <x:v>C3</x:v>
      </x:c>
      <x:c r="C244" s="8" t="str">
        <x:v>XL3:O1</x:v>
      </x:c>
      <x:c r="D244" s="8" t="str">
        <x:v>QF1:5</x:v>
      </x:c>
      <x:c r="E244" s="8" t="str">
        <x:v>6 мм²</x:v>
      </x:c>
      <x:c r="F244" s="8" t="str">
        <x:v>белый</x:v>
      </x:c>
      <x:c r="G244" s="8" t="str">
        <x:v>ШС1</x:v>
      </x:c>
      <x:c r="H244" s="8" t="str">
        <x:v>Провод</x:v>
      </x:c>
      <x:c r="I244" s="8" t="str">
        <x:v>РБД-160А; провод Cu 6 мм². O — проектный номер зажима.</x:v>
      </x:c>
      <x:c r="J244" s="9"/>
    </x:row>
    <x:row r="245" ht="31" hidden="0" customHeight="1">
      <x:c r="A245" s="8" t="n">
        <x:v>241</x:v>
      </x:c>
      <x:c r="B245" s="8" t="str">
        <x:v>C3</x:v>
      </x:c>
      <x:c r="C245" s="8" t="str">
        <x:v>XL3:O2</x:v>
      </x:c>
      <x:c r="D245" s="8" t="str">
        <x:v>QF2:1</x:v>
      </x:c>
      <x:c r="E245" s="8" t="str">
        <x:v>6 мм²</x:v>
      </x:c>
      <x:c r="F245" s="8" t="str">
        <x:v>белый</x:v>
      </x:c>
      <x:c r="G245" s="8" t="str">
        <x:v>ШС1</x:v>
      </x:c>
      <x:c r="H245" s="8" t="str">
        <x:v>Провод</x:v>
      </x:c>
      <x:c r="I245" s="8" t="str">
        <x:v>РБД-160А; провод Cu 6 мм². O — проектный номер зажима.</x:v>
      </x:c>
      <x:c r="J245" s="9"/>
    </x:row>
    <x:row r="246" ht="31" hidden="0" customHeight="1">
      <x:c r="A246" s="8" t="n">
        <x:v>242</x:v>
      </x:c>
      <x:c r="B246" s="8" t="str">
        <x:v>C3</x:v>
      </x:c>
      <x:c r="C246" s="8" t="str">
        <x:v>XL3:O3</x:v>
      </x:c>
      <x:c r="D246" s="8" t="str">
        <x:v>FV1:L3</x:v>
      </x:c>
      <x:c r="E246" s="8" t="str">
        <x:v>6 мм²</x:v>
      </x:c>
      <x:c r="F246" s="8" t="str">
        <x:v>белый</x:v>
      </x:c>
      <x:c r="G246" s="8" t="str">
        <x:v>ШС1</x:v>
      </x:c>
      <x:c r="H246" s="8" t="str">
        <x:v>Провод</x:v>
      </x:c>
      <x:c r="I246" s="8" t="str">
        <x:v>РБД-160А; провод Cu 6 мм². O — проектный номер зажима.</x:v>
      </x:c>
      <x:c r="J246" s="9"/>
    </x:row>
    <x:row r="247" ht="31" hidden="0" customHeight="1">
      <x:c r="A247" s="8" t="n">
        <x:v>243</x:v>
      </x:c>
      <x:c r="B247" s="8" t="str">
        <x:v>C4</x:v>
      </x:c>
      <x:c r="C247" s="8" t="str">
        <x:v>KM1:5/L3</x:v>
      </x:c>
      <x:c r="D247" s="8" t="str">
        <x:v>QF1:6</x:v>
      </x:c>
      <x:c r="E247" s="8" t="str">
        <x:v>6 мм²</x:v>
      </x:c>
      <x:c r="F247" s="8" t="str">
        <x:v>белый</x:v>
      </x:c>
      <x:c r="G247" s="8" t="str">
        <x:v>ШС1</x:v>
      </x:c>
      <x:c r="H247" s="8" t="str">
        <x:v>Провод</x:v>
      </x:c>
      <x:c r="I247" s="8" t="str"/>
      <x:c r="J247" s="9"/>
    </x:row>
    <x:row r="248" ht="31" hidden="0" customHeight="1">
      <x:c r="A248" s="8" t="n">
        <x:v>244</x:v>
      </x:c>
      <x:c r="B248" s="8" t="str">
        <x:v>C5</x:v>
      </x:c>
      <x:c r="C248" s="8" t="str">
        <x:v>KM1:6/T3</x:v>
      </x:c>
      <x:c r="D248" s="8" t="str">
        <x:v>UZ1:T/L3</x:v>
      </x:c>
      <x:c r="E248" s="8" t="str">
        <x:v>6 мм²</x:v>
      </x:c>
      <x:c r="F248" s="8" t="str">
        <x:v>белый</x:v>
      </x:c>
      <x:c r="G248" s="8" t="str">
        <x:v>ШС1</x:v>
      </x:c>
      <x:c r="H248" s="8" t="str">
        <x:v>Провод</x:v>
      </x:c>
      <x:c r="I248" s="8" t="str"/>
      <x:c r="J248" s="9"/>
    </x:row>
    <x:row r="249" ht="31" hidden="0" customHeight="1">
      <x:c r="A249" s="8" t="n">
        <x:v>245</x:v>
      </x:c>
      <x:c r="B249" s="8" t="str">
        <x:v>C6</x:v>
      </x:c>
      <x:c r="C249" s="8" t="str">
        <x:v>UZ1:W/T3</x:v>
      </x:c>
      <x:c r="D249" s="8" t="str">
        <x:v>XT10:3</x:v>
      </x:c>
      <x:c r="E249" s="8" t="str">
        <x:v>6 мм²</x:v>
      </x:c>
      <x:c r="F249" s="8" t="str">
        <x:v>белый</x:v>
      </x:c>
      <x:c r="G249" s="8" t="str">
        <x:v>ШС1</x:v>
      </x:c>
      <x:c r="H249" s="8" t="str">
        <x:v>Провод</x:v>
      </x:c>
      <x:c r="I249" s="8" t="str"/>
      <x:c r="J249" s="9"/>
    </x:row>
    <x:row r="250" ht="31" hidden="0" customHeight="1">
      <x:c r="A250" s="8" t="n">
        <x:v>246</x:v>
      </x:c>
      <x:c r="B250" s="8" t="str">
        <x:v>C8</x:v>
      </x:c>
      <x:c r="C250" s="8" t="str">
        <x:v>G2:L</x:v>
      </x:c>
      <x:c r="D250" s="8" t="str">
        <x:v>QF2:2</x:v>
      </x:c>
      <x:c r="E250" s="8" t="str">
        <x:v>2,5 мм²</x:v>
      </x:c>
      <x:c r="F250" s="8" t="str">
        <x:v>белый</x:v>
      </x:c>
      <x:c r="G250" s="8" t="str">
        <x:v>ШС1</x:v>
      </x:c>
      <x:c r="H250" s="8" t="str">
        <x:v>Провод</x:v>
      </x:c>
      <x:c r="I250" s="8" t="str"/>
      <x:c r="J250" s="9"/>
    </x:row>
    <x:row r="251" ht="31" hidden="0" customHeight="1">
      <x:c r="A251" s="8" t="n">
        <x:v>247</x:v>
      </x:c>
      <x:c r="B251" s="8" t="str">
        <x:v>N</x:v>
      </x:c>
      <x:c r="C251" s="8" t="str">
        <x:v>N1:03</x:v>
      </x:c>
      <x:c r="D251" s="8" t="str">
        <x:v>QF2:3</x:v>
      </x:c>
      <x:c r="E251" s="8" t="str">
        <x:v>2,5 мм²</x:v>
      </x:c>
      <x:c r="F251" s="8" t="str">
        <x:v>синий</x:v>
      </x:c>
      <x:c r="G251" s="8" t="str">
        <x:v>ШС1</x:v>
      </x:c>
      <x:c r="H251" s="8" t="str">
        <x:v>Провод</x:v>
      </x:c>
      <x:c r="I251" s="8" t="str">
        <x:v>N1 DKC 5015N: зажим от 2,5 мм²</x:v>
      </x:c>
      <x:c r="J251" s="9"/>
    </x:row>
    <x:row r="252" ht="31" hidden="0" customHeight="1">
      <x:c r="A252" s="8" t="n">
        <x:v>248</x:v>
      </x:c>
      <x:c r="B252" s="8" t="str">
        <x:v>N</x:v>
      </x:c>
      <x:c r="C252" s="8" t="str">
        <x:v>N1:04</x:v>
      </x:c>
      <x:c r="D252" s="8" t="str">
        <x:v>QF3:3</x:v>
      </x:c>
      <x:c r="E252" s="8" t="str">
        <x:v>2,5 мм²</x:v>
      </x:c>
      <x:c r="F252" s="8" t="str">
        <x:v>синий</x:v>
      </x:c>
      <x:c r="G252" s="8" t="str">
        <x:v>ШС1</x:v>
      </x:c>
      <x:c r="H252" s="8" t="str">
        <x:v>Провод</x:v>
      </x:c>
      <x:c r="I252" s="8" t="str">
        <x:v>N1 DKC 5015N: зажим от 2,5 мм²</x:v>
      </x:c>
      <x:c r="J252" s="9"/>
    </x:row>
    <x:row r="253" ht="31" hidden="0" customHeight="1">
      <x:c r="A253" s="8" t="n">
        <x:v>249</x:v>
      </x:c>
      <x:c r="B253" s="8" t="str">
        <x:v>N</x:v>
      </x:c>
      <x:c r="C253" s="8" t="str">
        <x:v>N1:05</x:v>
      </x:c>
      <x:c r="D253" s="8" t="str">
        <x:v>QF4:3</x:v>
      </x:c>
      <x:c r="E253" s="8" t="str">
        <x:v>2,5 мм²</x:v>
      </x:c>
      <x:c r="F253" s="8" t="str">
        <x:v>синий</x:v>
      </x:c>
      <x:c r="G253" s="8" t="str">
        <x:v>ШС1</x:v>
      </x:c>
      <x:c r="H253" s="8" t="str">
        <x:v>Провод</x:v>
      </x:c>
      <x:c r="I253" s="8" t="str">
        <x:v>N1 DKC 5015N: зажим от 2,5 мм²</x:v>
      </x:c>
      <x:c r="J253" s="9"/>
    </x:row>
    <x:row r="254" ht="31" hidden="0" customHeight="1">
      <x:c r="A254" s="8" t="n">
        <x:v>250</x:v>
      </x:c>
      <x:c r="B254" s="8" t="str">
        <x:v>N</x:v>
      </x:c>
      <x:c r="C254" s="8" t="str">
        <x:v>N1:06</x:v>
      </x:c>
      <x:c r="D254" s="8" t="str">
        <x:v>QFD1:N.in</x:v>
      </x:c>
      <x:c r="E254" s="8" t="str">
        <x:v>2,5 мм²</x:v>
      </x:c>
      <x:c r="F254" s="8" t="str">
        <x:v>синий</x:v>
      </x:c>
      <x:c r="G254" s="8" t="str">
        <x:v>ШС1</x:v>
      </x:c>
      <x:c r="H254" s="8" t="str">
        <x:v>Провод</x:v>
      </x:c>
      <x:c r="I254" s="8" t="str">
        <x:v>N1 DKC 5015N: зажим от 2,5 мм²</x:v>
      </x:c>
      <x:c r="J254" s="9"/>
    </x:row>
    <x:row r="255" ht="31" hidden="0" customHeight="1">
      <x:c r="A255" s="8" t="n">
        <x:v>251</x:v>
      </x:c>
      <x:c r="B255" s="8" t="str">
        <x:v>N</x:v>
      </x:c>
      <x:c r="C255" s="8" t="str">
        <x:v>N1:15</x:v>
      </x:c>
      <x:c r="D255" s="8" t="str">
        <x:v>FV1:N</x:v>
      </x:c>
      <x:c r="E255" s="8" t="str">
        <x:v>6 мм²</x:v>
      </x:c>
      <x:c r="F255" s="8" t="str">
        <x:v>синий</x:v>
      </x:c>
      <x:c r="G255" s="8" t="str">
        <x:v>ШС1</x:v>
      </x:c>
      <x:c r="H255" s="8" t="str">
        <x:v>Провод</x:v>
      </x:c>
      <x:c r="I255" s="8" t="str">
        <x:v>N1 DKC 5015N; нейтраль УЗИП 6 мм²</x:v>
      </x:c>
      <x:c r="J255" s="9"/>
    </x:row>
    <x:row r="256" ht="31" hidden="0" customHeight="1">
      <x:c r="A256" s="8" t="n">
        <x:v>252</x:v>
      </x:c>
      <x:c r="B256" s="8" t="str">
        <x:v>N</x:v>
      </x:c>
      <x:c r="C256" s="8" t="str">
        <x:v>XT1:4</x:v>
      </x:c>
      <x:c r="D256" s="8" t="str">
        <x:v>N1:01</x:v>
      </x:c>
      <x:c r="E256" s="8" t="str">
        <x:v>6 мм²</x:v>
      </x:c>
      <x:c r="F256" s="8" t="str">
        <x:v>синий</x:v>
      </x:c>
      <x:c r="G256" s="8" t="str">
        <x:v>ШС1</x:v>
      </x:c>
      <x:c r="H256" s="8" t="str">
        <x:v>Провод</x:v>
      </x:c>
      <x:c r="I256" s="8" t="str"/>
      <x:c r="J256" s="9"/>
    </x:row>
    <x:row r="257" ht="31" hidden="0" customHeight="1">
      <x:c r="A257" s="8" t="n">
        <x:v>253</x:v>
      </x:c>
      <x:c r="B257" s="8" t="str">
        <x:v>N2</x:v>
      </x:c>
      <x:c r="C257" s="8" t="str">
        <x:v>G1:N</x:v>
      </x:c>
      <x:c r="D257" s="8" t="str">
        <x:v>QF3:4</x:v>
      </x:c>
      <x:c r="E257" s="8" t="str">
        <x:v>2,5 мм²</x:v>
      </x:c>
      <x:c r="F257" s="8" t="str">
        <x:v>синий</x:v>
      </x:c>
      <x:c r="G257" s="8" t="str">
        <x:v>ШС1</x:v>
      </x:c>
      <x:c r="H257" s="8" t="str">
        <x:v>Провод</x:v>
      </x:c>
      <x:c r="I257" s="8" t="str"/>
      <x:c r="J257" s="9"/>
    </x:row>
    <x:row r="258" ht="31" hidden="0" customHeight="1">
      <x:c r="A258" s="8" t="n">
        <x:v>254</x:v>
      </x:c>
      <x:c r="B258" s="8" t="str">
        <x:v>N3</x:v>
      </x:c>
      <x:c r="C258" s="8" t="str">
        <x:v>G2:N</x:v>
      </x:c>
      <x:c r="D258" s="8" t="str">
        <x:v>QF2:4</x:v>
      </x:c>
      <x:c r="E258" s="8" t="str">
        <x:v>2,5 мм²</x:v>
      </x:c>
      <x:c r="F258" s="8" t="str">
        <x:v>синий</x:v>
      </x:c>
      <x:c r="G258" s="8" t="str">
        <x:v>ШС1</x:v>
      </x:c>
      <x:c r="H258" s="8" t="str">
        <x:v>Провод</x:v>
      </x:c>
      <x:c r="I258" s="8" t="str"/>
      <x:c r="J258" s="9"/>
    </x:row>
    <x:row r="259" ht="31" hidden="0" customHeight="1">
      <x:c r="A259" s="8" t="n">
        <x:v>255</x:v>
      </x:c>
      <x:c r="B259" s="8" t="str">
        <x:v>N4</x:v>
      </x:c>
      <x:c r="C259" s="8" t="str">
        <x:v>QF4:4</x:v>
      </x:c>
      <x:c r="D259" s="8" t="str">
        <x:v>HL0:N</x:v>
      </x:c>
      <x:c r="E259" s="8" t="str">
        <x:v>2,5 мм²</x:v>
      </x:c>
      <x:c r="F259" s="8" t="str">
        <x:v>синий</x:v>
      </x:c>
      <x:c r="G259" s="8" t="str">
        <x:v>ШС1</x:v>
      </x:c>
      <x:c r="H259" s="8" t="str">
        <x:v>Провод</x:v>
      </x:c>
      <x:c r="I259" s="8" t="str"/>
      <x:c r="J259" s="9"/>
    </x:row>
    <x:row r="260" ht="31" hidden="0" customHeight="1">
      <x:c r="A260" s="8" t="n">
        <x:v>256</x:v>
      </x:c>
      <x:c r="B260" s="8" t="str">
        <x:v>N4</x:v>
      </x:c>
      <x:c r="C260" s="8" t="str">
        <x:v>QF4:4</x:v>
      </x:c>
      <x:c r="D260" s="8" t="str">
        <x:v>M2:N</x:v>
      </x:c>
      <x:c r="E260" s="8" t="str">
        <x:v>2,5 мм²</x:v>
      </x:c>
      <x:c r="F260" s="8" t="str">
        <x:v>синий</x:v>
      </x:c>
      <x:c r="G260" s="8" t="str">
        <x:v>ШС1</x:v>
      </x:c>
      <x:c r="H260" s="8" t="str">
        <x:v>Провод</x:v>
      </x:c>
      <x:c r="I260" s="8" t="str"/>
      <x:c r="J260" s="9"/>
    </x:row>
    <x:row r="261" ht="31" hidden="0" customHeight="1">
      <x:c r="A261" s="8" t="n">
        <x:v>257</x:v>
      </x:c>
      <x:c r="B261" s="8" t="str">
        <x:v>N5</x:v>
      </x:c>
      <x:c r="C261" s="8" t="str">
        <x:v>QFD1:N.out</x:v>
      </x:c>
      <x:c r="D261" s="8" t="str">
        <x:v>XS1:N</x:v>
      </x:c>
      <x:c r="E261" s="8" t="str">
        <x:v>2,5 мм²</x:v>
      </x:c>
      <x:c r="F261" s="8" t="str">
        <x:v>синий</x:v>
      </x:c>
      <x:c r="G261" s="8" t="str">
        <x:v>ШС1</x:v>
      </x:c>
      <x:c r="H261" s="8" t="str">
        <x:v>Провод</x:v>
      </x:c>
      <x:c r="I261" s="8" t="str">
        <x:v>Функциональное имя вывода</x:v>
      </x:c>
      <x:c r="J261" s="9"/>
    </x:row>
    <x:row r="262" ht="31" hidden="0" customHeight="1">
      <x:c r="A262" s="8" t="n">
        <x:v>258</x:v>
      </x:c>
      <x:c r="B262" s="8" t="str">
        <x:v>PE</x:v>
      </x:c>
      <x:c r="C262" s="8" t="str">
        <x:v>EQS1:шина экранов</x:v>
      </x:c>
      <x:c r="D262" s="8" t="str">
        <x:v>UZ1:экран моторного кабеля</x:v>
      </x:c>
      <x:c r="E262" s="8" t="str">
        <x:v>—</x:v>
      </x:c>
      <x:c r="F262" s="8" t="str">
        <x:v>—</x:v>
      </x:c>
      <x:c r="G262" s="8" t="str">
        <x:v>ШС1</x:v>
      </x:c>
      <x:c r="H262" s="8" t="str">
        <x:v>Экран</x:v>
      </x:c>
      <x:c r="I262" s="8" t="str">
        <x:v>Экран W2: зажим 360° к PE у ПЧ</x:v>
      </x:c>
      <x:c r="J262" s="9"/>
    </x:row>
    <x:row r="263" ht="31" hidden="0" customHeight="1">
      <x:c r="A263" s="8" t="n">
        <x:v>259</x:v>
      </x:c>
      <x:c r="B263" s="8" t="str">
        <x:v>PE</x:v>
      </x:c>
      <x:c r="C263" s="8" t="str">
        <x:v>EQS1:шина экранов</x:v>
      </x:c>
      <x:c r="D263" s="8" t="str">
        <x:v>W6:экран</x:v>
      </x:c>
      <x:c r="E263" s="8" t="str">
        <x:v>—</x:v>
      </x:c>
      <x:c r="F263" s="8" t="str">
        <x:v>—</x:v>
      </x:c>
      <x:c r="G263" s="8" t="str">
        <x:v>ШС1</x:v>
      </x:c>
      <x:c r="H263" s="8" t="str">
        <x:v>Экран</x:v>
      </x:c>
      <x:c r="I263" s="8" t="str">
        <x:v>Экран на EQS1 в ШС1; противоположный конец изолировать.</x:v>
      </x:c>
      <x:c r="J263" s="9"/>
    </x:row>
    <x:row r="264" ht="31" hidden="0" customHeight="1">
      <x:c r="A264" s="8" t="n">
        <x:v>260</x:v>
      </x:c>
      <x:c r="B264" s="8" t="str">
        <x:v>PE</x:v>
      </x:c>
      <x:c r="C264" s="8" t="str">
        <x:v>EQS1:шина экранов</x:v>
      </x:c>
      <x:c r="D264" s="8" t="str">
        <x:v>W21:экран</x:v>
      </x:c>
      <x:c r="E264" s="8" t="str">
        <x:v>—</x:v>
      </x:c>
      <x:c r="F264" s="8" t="str">
        <x:v>—</x:v>
      </x:c>
      <x:c r="G264" s="8" t="str">
        <x:v>ШС1</x:v>
      </x:c>
      <x:c r="H264" s="8" t="str">
        <x:v>Экран</x:v>
      </x:c>
      <x:c r="I264" s="8" t="str">
        <x:v>Экран на EQS1 в ШС1; противоположный конец изолировать.</x:v>
      </x:c>
      <x:c r="J264" s="9"/>
    </x:row>
    <x:row r="265" ht="31" hidden="0" customHeight="1">
      <x:c r="A265" s="8" t="n">
        <x:v>261</x:v>
      </x:c>
      <x:c r="B265" s="8" t="str">
        <x:v>PE</x:v>
      </x:c>
      <x:c r="C265" s="8" t="str">
        <x:v>EQS1:шина экранов</x:v>
      </x:c>
      <x:c r="D265" s="8" t="str">
        <x:v>WA1:экран</x:v>
      </x:c>
      <x:c r="E265" s="8" t="str">
        <x:v>—</x:v>
      </x:c>
      <x:c r="F265" s="8" t="str">
        <x:v>—</x:v>
      </x:c>
      <x:c r="G265" s="8" t="str">
        <x:v>ШС1</x:v>
      </x:c>
      <x:c r="H265" s="8" t="str">
        <x:v>Экран</x:v>
      </x:c>
      <x:c r="I265" s="8" t="str">
        <x:v>Экран пары 110/111 к PE; у UZ1 изолировать</x:v>
      </x:c>
      <x:c r="J265" s="9"/>
    </x:row>
    <x:row r="266" ht="31" hidden="0" customHeight="1">
      <x:c r="A266" s="8" t="n">
        <x:v>262</x:v>
      </x:c>
      <x:c r="B266" s="8" t="str">
        <x:v>PE</x:v>
      </x:c>
      <x:c r="C266" s="8" t="str">
        <x:v>PE1:02</x:v>
      </x:c>
      <x:c r="D266" s="8" t="str">
        <x:v>PE2:01</x:v>
      </x:c>
      <x:c r="E266" s="8" t="str">
        <x:v>6 мм²</x:v>
      </x:c>
      <x:c r="F266" s="8" t="str">
        <x:v>ж/з</x:v>
      </x:c>
      <x:c r="G266" s="8" t="str">
        <x:v>ШС1</x:v>
      </x:c>
      <x:c r="H266" s="8" t="str">
        <x:v>Провод</x:v>
      </x:c>
      <x:c r="I266" s="8" t="str">
        <x:v>Связь двух шин PE</x:v>
      </x:c>
      <x:c r="J266" s="9"/>
    </x:row>
    <x:row r="267" ht="31" hidden="0" customHeight="1">
      <x:c r="A267" s="8" t="n">
        <x:v>263</x:v>
      </x:c>
      <x:c r="B267" s="8" t="str">
        <x:v>PE</x:v>
      </x:c>
      <x:c r="C267" s="8" t="str">
        <x:v>PE1:03</x:v>
      </x:c>
      <x:c r="D267" s="8" t="str">
        <x:v>XPE1:1a</x:v>
      </x:c>
      <x:c r="E267" s="8" t="str">
        <x:v>2,5 мм²</x:v>
      </x:c>
      <x:c r="F267" s="8" t="str">
        <x:v>ж/з</x:v>
      </x:c>
      <x:c r="G267" s="8" t="str">
        <x:v>ШС1</x:v>
      </x:c>
      <x:c r="H267" s="8" t="str">
        <x:v>Провод</x:v>
      </x:c>
      <x:c r="I267" s="8" t="str">
        <x:v>DKC T1615: зажим от 2,5 мм²</x:v>
      </x:c>
      <x:c r="J267" s="9"/>
    </x:row>
    <x:row r="268" ht="31" hidden="0" customHeight="1">
      <x:c r="A268" s="8" t="n">
        <x:v>264</x:v>
      </x:c>
      <x:c r="B268" s="8" t="str">
        <x:v>PE</x:v>
      </x:c>
      <x:c r="C268" s="8" t="str">
        <x:v>PE1:04</x:v>
      </x:c>
      <x:c r="D268" s="8" t="str">
        <x:v>XPE1:2a</x:v>
      </x:c>
      <x:c r="E268" s="8" t="str">
        <x:v>2,5 мм²</x:v>
      </x:c>
      <x:c r="F268" s="8" t="str">
        <x:v>ж/з</x:v>
      </x:c>
      <x:c r="G268" s="8" t="str">
        <x:v>ШС1</x:v>
      </x:c>
      <x:c r="H268" s="8" t="str">
        <x:v>Провод</x:v>
      </x:c>
      <x:c r="I268" s="8" t="str">
        <x:v>DKC T1615: зажим от 2,5 мм²</x:v>
      </x:c>
      <x:c r="J268" s="9"/>
    </x:row>
    <x:row r="269" ht="31" hidden="0" customHeight="1">
      <x:c r="A269" s="8" t="n">
        <x:v>265</x:v>
      </x:c>
      <x:c r="B269" s="8" t="str">
        <x:v>PE</x:v>
      </x:c>
      <x:c r="C269" s="8" t="str">
        <x:v>PE1:05</x:v>
      </x:c>
      <x:c r="D269" s="8" t="str">
        <x:v>EQS1:шина экранов</x:v>
      </x:c>
      <x:c r="E269" s="8" t="str">
        <x:v>2,5 мм²</x:v>
      </x:c>
      <x:c r="F269" s="8" t="str">
        <x:v>ж/з</x:v>
      </x:c>
      <x:c r="G269" s="8" t="str">
        <x:v>ШС1</x:v>
      </x:c>
      <x:c r="H269" s="8" t="str">
        <x:v>Провод</x:v>
      </x:c>
      <x:c r="I269" s="8" t="str">
        <x:v>Отдельный защитный проводник</x:v>
      </x:c>
      <x:c r="J269" s="9"/>
    </x:row>
    <x:row r="270" ht="31" hidden="0" customHeight="1">
      <x:c r="A270" s="8" t="n">
        <x:v>266</x:v>
      </x:c>
      <x:c r="B270" s="8" t="str">
        <x:v>PE</x:v>
      </x:c>
      <x:c r="C270" s="8" t="str">
        <x:v>PE1:07</x:v>
      </x:c>
      <x:c r="D270" s="8" t="str">
        <x:v>XPE1:3a</x:v>
      </x:c>
      <x:c r="E270" s="8" t="str">
        <x:v>2,5 мм²</x:v>
      </x:c>
      <x:c r="F270" s="8" t="str">
        <x:v>ж/з</x:v>
      </x:c>
      <x:c r="G270" s="8" t="str">
        <x:v>ШС1</x:v>
      </x:c>
      <x:c r="H270" s="8" t="str">
        <x:v>Провод</x:v>
      </x:c>
      <x:c r="I270" s="8" t="str">
        <x:v>DKC T1615: зажим от 2,5 мм²</x:v>
      </x:c>
      <x:c r="J270" s="9"/>
    </x:row>
    <x:row r="271" ht="31" hidden="0" customHeight="1">
      <x:c r="A271" s="8" t="n">
        <x:v>267</x:v>
      </x:c>
      <x:c r="B271" s="8" t="str">
        <x:v>PE</x:v>
      </x:c>
      <x:c r="C271" s="8" t="str">
        <x:v>PE1:08</x:v>
      </x:c>
      <x:c r="D271" s="8" t="str">
        <x:v>XPE1:4a</x:v>
      </x:c>
      <x:c r="E271" s="8" t="str">
        <x:v>2,5 мм²</x:v>
      </x:c>
      <x:c r="F271" s="8" t="str">
        <x:v>ж/з</x:v>
      </x:c>
      <x:c r="G271" s="8" t="str">
        <x:v>ШС1</x:v>
      </x:c>
      <x:c r="H271" s="8" t="str">
        <x:v>Провод</x:v>
      </x:c>
      <x:c r="I271" s="8" t="str">
        <x:v>DKC T1615: зажим от 2,5 мм²</x:v>
      </x:c>
      <x:c r="J271" s="9"/>
    </x:row>
    <x:row r="272" ht="31" hidden="0" customHeight="1">
      <x:c r="A272" s="8" t="n">
        <x:v>268</x:v>
      </x:c>
      <x:c r="B272" s="8" t="str">
        <x:v>PE</x:v>
      </x:c>
      <x:c r="C272" s="8" t="str">
        <x:v>PE1:09</x:v>
      </x:c>
      <x:c r="D272" s="8" t="str">
        <x:v>XPE1:5a</x:v>
      </x:c>
      <x:c r="E272" s="8" t="str">
        <x:v>2,5 мм²</x:v>
      </x:c>
      <x:c r="F272" s="8" t="str">
        <x:v>ж/з</x:v>
      </x:c>
      <x:c r="G272" s="8" t="str">
        <x:v>ШС1</x:v>
      </x:c>
      <x:c r="H272" s="8" t="str">
        <x:v>Провод</x:v>
      </x:c>
      <x:c r="I272" s="8" t="str">
        <x:v>DKC T1615: зажим от 2,5 мм²</x:v>
      </x:c>
      <x:c r="J272" s="9"/>
    </x:row>
    <x:row r="273" ht="31" hidden="0" customHeight="1">
      <x:c r="A273" s="8" t="n">
        <x:v>269</x:v>
      </x:c>
      <x:c r="B273" s="8" t="str">
        <x:v>PE</x:v>
      </x:c>
      <x:c r="C273" s="8" t="str">
        <x:v>PE1:10</x:v>
      </x:c>
      <x:c r="D273" s="8" t="str">
        <x:v>XPE1:6a</x:v>
      </x:c>
      <x:c r="E273" s="8" t="str">
        <x:v>2,5 мм²</x:v>
      </x:c>
      <x:c r="F273" s="8" t="str">
        <x:v>ж/з</x:v>
      </x:c>
      <x:c r="G273" s="8" t="str">
        <x:v>ШС1</x:v>
      </x:c>
      <x:c r="H273" s="8" t="str">
        <x:v>Провод</x:v>
      </x:c>
      <x:c r="I273" s="8" t="str">
        <x:v>DKC T1615: зажим от 2,5 мм²</x:v>
      </x:c>
      <x:c r="J273" s="9"/>
    </x:row>
    <x:row r="274" ht="31" hidden="0" customHeight="1">
      <x:c r="A274" s="8" t="n">
        <x:v>270</x:v>
      </x:c>
      <x:c r="B274" s="8" t="str">
        <x:v>PE</x:v>
      </x:c>
      <x:c r="C274" s="8" t="str">
        <x:v>PE1:11</x:v>
      </x:c>
      <x:c r="D274" s="8" t="str">
        <x:v>XPE1:7a</x:v>
      </x:c>
      <x:c r="E274" s="8" t="str">
        <x:v>2,5 мм²</x:v>
      </x:c>
      <x:c r="F274" s="8" t="str">
        <x:v>ж/з</x:v>
      </x:c>
      <x:c r="G274" s="8" t="str">
        <x:v>ШС1</x:v>
      </x:c>
      <x:c r="H274" s="8" t="str">
        <x:v>Провод</x:v>
      </x:c>
      <x:c r="I274" s="8" t="str">
        <x:v>DKC T1615: зажим от 2,5 мм²</x:v>
      </x:c>
      <x:c r="J274" s="9"/>
    </x:row>
    <x:row r="275" ht="31" hidden="0" customHeight="1">
      <x:c r="A275" s="8" t="n">
        <x:v>271</x:v>
      </x:c>
      <x:c r="B275" s="8" t="str">
        <x:v>PE</x:v>
      </x:c>
      <x:c r="C275" s="8" t="str">
        <x:v>PE1:12</x:v>
      </x:c>
      <x:c r="D275" s="8" t="str">
        <x:v>UZ1:PE</x:v>
      </x:c>
      <x:c r="E275" s="8" t="str">
        <x:v>6 мм²</x:v>
      </x:c>
      <x:c r="F275" s="8" t="str">
        <x:v>ж/з</x:v>
      </x:c>
      <x:c r="G275" s="8" t="str">
        <x:v>ШС1</x:v>
      </x:c>
      <x:c r="H275" s="8" t="str">
        <x:v>Провод</x:v>
      </x:c>
      <x:c r="I275" s="8" t="str">
        <x:v>Отдельный защитный проводник</x:v>
      </x:c>
      <x:c r="J275" s="9"/>
    </x:row>
    <x:row r="276" ht="31" hidden="0" customHeight="1">
      <x:c r="A276" s="8" t="n">
        <x:v>272</x:v>
      </x:c>
      <x:c r="B276" s="8" t="str">
        <x:v>PE</x:v>
      </x:c>
      <x:c r="C276" s="8" t="str">
        <x:v>PE1:14</x:v>
      </x:c>
      <x:c r="D276" s="8" t="str">
        <x:v>XPE1:8a</x:v>
      </x:c>
      <x:c r="E276" s="8" t="str">
        <x:v>2,5 мм²</x:v>
      </x:c>
      <x:c r="F276" s="8" t="str">
        <x:v>ж/з</x:v>
      </x:c>
      <x:c r="G276" s="8" t="str">
        <x:v>ШС1</x:v>
      </x:c>
      <x:c r="H276" s="8" t="str">
        <x:v>Провод</x:v>
      </x:c>
      <x:c r="I276" s="8" t="str">
        <x:v>DKC T1615: зажим от 2,5 мм²</x:v>
      </x:c>
      <x:c r="J276" s="9"/>
    </x:row>
    <x:row r="277" ht="31" hidden="0" customHeight="1">
      <x:c r="A277" s="8" t="n">
        <x:v>273</x:v>
      </x:c>
      <x:c r="B277" s="8" t="str">
        <x:v>PE</x:v>
      </x:c>
      <x:c r="C277" s="8" t="str">
        <x:v>PE2:02</x:v>
      </x:c>
      <x:c r="D277" s="8" t="str">
        <x:v>XT8:PE</x:v>
      </x:c>
      <x:c r="E277" s="8" t="str">
        <x:v>2,5 мм²</x:v>
      </x:c>
      <x:c r="F277" s="8" t="str">
        <x:v>ж/з</x:v>
      </x:c>
      <x:c r="G277" s="8" t="str">
        <x:v>ШС1</x:v>
      </x:c>
      <x:c r="H277" s="8" t="str">
        <x:v>Провод</x:v>
      </x:c>
      <x:c r="I277" s="8" t="str">
        <x:v>Отдельный защитный проводник</x:v>
      </x:c>
      <x:c r="J277" s="9"/>
    </x:row>
    <x:row r="278" ht="31" hidden="0" customHeight="1">
      <x:c r="A278" s="8" t="n">
        <x:v>274</x:v>
      </x:c>
      <x:c r="B278" s="8" t="str">
        <x:v>PE</x:v>
      </x:c>
      <x:c r="C278" s="8" t="str">
        <x:v>PE2:03</x:v>
      </x:c>
      <x:c r="D278" s="8" t="str">
        <x:v>XT10:PE</x:v>
      </x:c>
      <x:c r="E278" s="8" t="str">
        <x:v>6 мм²</x:v>
      </x:c>
      <x:c r="F278" s="8" t="str">
        <x:v>ж/з</x:v>
      </x:c>
      <x:c r="G278" s="8" t="str">
        <x:v>ШС1</x:v>
      </x:c>
      <x:c r="H278" s="8" t="str">
        <x:v>Провод</x:v>
      </x:c>
      <x:c r="I278" s="8" t="str">
        <x:v>Отдельный защитный проводник</x:v>
      </x:c>
      <x:c r="J278" s="9"/>
    </x:row>
    <x:row r="279" ht="31" hidden="0" customHeight="1">
      <x:c r="A279" s="8" t="n">
        <x:v>275</x:v>
      </x:c>
      <x:c r="B279" s="8" t="str">
        <x:v>PE</x:v>
      </x:c>
      <x:c r="C279" s="8" t="str">
        <x:v>PE2:04</x:v>
      </x:c>
      <x:c r="D279" s="8" t="str">
        <x:v>ШС1:дверь</x:v>
      </x:c>
      <x:c r="E279" s="8" t="str">
        <x:v>6 мм²</x:v>
      </x:c>
      <x:c r="F279" s="8" t="str">
        <x:v>ж/з</x:v>
      </x:c>
      <x:c r="G279" s="8" t="str">
        <x:v>ШС1</x:v>
      </x:c>
      <x:c r="H279" s="8" t="str">
        <x:v>Провод</x:v>
      </x:c>
      <x:c r="I279" s="8" t="str">
        <x:v>Отдельный защитный проводник</x:v>
      </x:c>
      <x:c r="J279" s="9"/>
    </x:row>
    <x:row r="280" ht="31" hidden="0" customHeight="1">
      <x:c r="A280" s="8" t="n">
        <x:v>276</x:v>
      </x:c>
      <x:c r="B280" s="8" t="str">
        <x:v>PE</x:v>
      </x:c>
      <x:c r="C280" s="8" t="str">
        <x:v>PE2:05</x:v>
      </x:c>
      <x:c r="D280" s="8" t="str">
        <x:v>ШС1:корпус</x:v>
      </x:c>
      <x:c r="E280" s="8" t="str">
        <x:v>6 мм²</x:v>
      </x:c>
      <x:c r="F280" s="8" t="str">
        <x:v>ж/з</x:v>
      </x:c>
      <x:c r="G280" s="8" t="str">
        <x:v>ШС1</x:v>
      </x:c>
      <x:c r="H280" s="8" t="str">
        <x:v>Провод</x:v>
      </x:c>
      <x:c r="I280" s="8" t="str">
        <x:v>Отдельный защитный проводник</x:v>
      </x:c>
      <x:c r="J280" s="9"/>
    </x:row>
    <x:row r="281" ht="31" hidden="0" customHeight="1">
      <x:c r="A281" s="8" t="n">
        <x:v>277</x:v>
      </x:c>
      <x:c r="B281" s="8" t="str">
        <x:v>PE</x:v>
      </x:c>
      <x:c r="C281" s="8" t="str">
        <x:v>PE2:06</x:v>
      </x:c>
      <x:c r="D281" s="8" t="str">
        <x:v>ШС1:плита</x:v>
      </x:c>
      <x:c r="E281" s="8" t="str">
        <x:v>6 мм²</x:v>
      </x:c>
      <x:c r="F281" s="8" t="str">
        <x:v>ж/з</x:v>
      </x:c>
      <x:c r="G281" s="8" t="str">
        <x:v>ШС1</x:v>
      </x:c>
      <x:c r="H281" s="8" t="str">
        <x:v>Провод</x:v>
      </x:c>
      <x:c r="I281" s="8" t="str">
        <x:v>Отдельный защитный проводник</x:v>
      </x:c>
      <x:c r="J281" s="9"/>
    </x:row>
    <x:row r="282" ht="31" hidden="0" customHeight="1">
      <x:c r="A282" s="8" t="n">
        <x:v>278</x:v>
      </x:c>
      <x:c r="B282" s="8" t="str">
        <x:v>PE</x:v>
      </x:c>
      <x:c r="C282" s="8" t="str">
        <x:v>PE2:15</x:v>
      </x:c>
      <x:c r="D282" s="8" t="str">
        <x:v>FV1:PE</x:v>
      </x:c>
      <x:c r="E282" s="8" t="str">
        <x:v>6 мм²</x:v>
      </x:c>
      <x:c r="F282" s="8" t="str">
        <x:v>ж/з</x:v>
      </x:c>
      <x:c r="G282" s="8" t="str">
        <x:v>ШС1</x:v>
      </x:c>
      <x:c r="H282" s="8" t="str">
        <x:v>Провод</x:v>
      </x:c>
      <x:c r="I282" s="8" t="str">
        <x:v>Отдельный защитный проводник</x:v>
      </x:c>
      <x:c r="J282" s="9"/>
    </x:row>
    <x:row r="283" ht="31" hidden="0" customHeight="1">
      <x:c r="A283" s="8" t="n">
        <x:v>279</x:v>
      </x:c>
      <x:c r="B283" s="8" t="str">
        <x:v>PE</x:v>
      </x:c>
      <x:c r="C283" s="8" t="str">
        <x:v>XPE1:1b</x:v>
      </x:c>
      <x:c r="D283" s="8" t="str">
        <x:v>A3:EARTH</x:v>
      </x:c>
      <x:c r="E283" s="8" t="str">
        <x:v>24 AWG</x:v>
      </x:c>
      <x:c r="F283" s="8" t="str">
        <x:v>белый¹</x:v>
      </x:c>
      <x:c r="G283" s="8" t="str">
        <x:v>ШС1</x:v>
      </x:c>
      <x:c r="H283" s="8" t="str">
        <x:v>Провод</x:v>
      </x:c>
      <x:c r="I283" s="8" t="str">
        <x:v>24 AWG, белый; функциональные обозначения на концах. Неподвижно.</x:v>
      </x:c>
      <x:c r="J283" s="9"/>
    </x:row>
    <x:row r="284" ht="31" hidden="0" customHeight="1">
      <x:c r="A284" s="8" t="n">
        <x:v>280</x:v>
      </x:c>
      <x:c r="B284" s="8" t="str">
        <x:v>PE</x:v>
      </x:c>
      <x:c r="C284" s="8" t="str">
        <x:v>XPE1:2b</x:v>
      </x:c>
      <x:c r="D284" s="8" t="str">
        <x:v>A8:FG</x:v>
      </x:c>
      <x:c r="E284" s="8" t="str">
        <x:v>2,5 мм²</x:v>
      </x:c>
      <x:c r="F284" s="8" t="str">
        <x:v>ж/з</x:v>
      </x:c>
      <x:c r="G284" s="8" t="str">
        <x:v>ШС1</x:v>
      </x:c>
      <x:c r="H284" s="8" t="str">
        <x:v>Провод</x:v>
      </x:c>
      <x:c r="I284" s="8" t="str">
        <x:v>Переход через MTU-2.5PE; зажим аппарата проверить</x:v>
      </x:c>
      <x:c r="J284" s="9"/>
    </x:row>
    <x:row r="285" ht="31" hidden="0" customHeight="1">
      <x:c r="A285" s="8" t="n">
        <x:v>281</x:v>
      </x:c>
      <x:c r="B285" s="8" t="str">
        <x:v>PE</x:v>
      </x:c>
      <x:c r="C285" s="8" t="str">
        <x:v>XPE1:3b</x:v>
      </x:c>
      <x:c r="D285" s="8" t="str">
        <x:v>G1:LG</x:v>
      </x:c>
      <x:c r="E285" s="8" t="str">
        <x:v>2,5 мм²</x:v>
      </x:c>
      <x:c r="F285" s="8" t="str">
        <x:v>ж/з</x:v>
      </x:c>
      <x:c r="G285" s="8" t="str">
        <x:v>ШС1</x:v>
      </x:c>
      <x:c r="H285" s="8" t="str">
        <x:v>Провод</x:v>
      </x:c>
      <x:c r="I285" s="8" t="str">
        <x:v>Переход через MTU-2.5PE; зажим аппарата проверить</x:v>
      </x:c>
      <x:c r="J285" s="9"/>
    </x:row>
    <x:row r="286" ht="31" hidden="0" customHeight="1">
      <x:c r="A286" s="8" t="n">
        <x:v>282</x:v>
      </x:c>
      <x:c r="B286" s="8" t="str">
        <x:v>PE</x:v>
      </x:c>
      <x:c r="C286" s="8" t="str">
        <x:v>XPE1:4b</x:v>
      </x:c>
      <x:c r="D286" s="8" t="str">
        <x:v>G2:PE</x:v>
      </x:c>
      <x:c r="E286" s="8" t="str">
        <x:v>2,5 мм²</x:v>
      </x:c>
      <x:c r="F286" s="8" t="str">
        <x:v>ж/з</x:v>
      </x:c>
      <x:c r="G286" s="8" t="str">
        <x:v>ШС1</x:v>
      </x:c>
      <x:c r="H286" s="8" t="str">
        <x:v>Провод</x:v>
      </x:c>
      <x:c r="I286" s="8" t="str">
        <x:v>Переход через MTU-2.5PE; зажим аппарата проверить</x:v>
      </x:c>
      <x:c r="J286" s="9"/>
    </x:row>
    <x:row r="287" ht="31" hidden="0" customHeight="1">
      <x:c r="A287" s="8" t="n">
        <x:v>283</x:v>
      </x:c>
      <x:c r="B287" s="8" t="str">
        <x:v>PE</x:v>
      </x:c>
      <x:c r="C287" s="8" t="str">
        <x:v>XPE1:6b</x:v>
      </x:c>
      <x:c r="D287" s="8" t="str">
        <x:v>M2:PE</x:v>
      </x:c>
      <x:c r="E287" s="8" t="str">
        <x:v>2,5 мм²</x:v>
      </x:c>
      <x:c r="F287" s="8" t="str">
        <x:v>ж/з</x:v>
      </x:c>
      <x:c r="G287" s="8" t="str">
        <x:v>ШС1</x:v>
      </x:c>
      <x:c r="H287" s="8" t="str">
        <x:v>Провод</x:v>
      </x:c>
      <x:c r="I287" s="8" t="str">
        <x:v>Переход через MTU-2.5PE; зажим аппарата проверить</x:v>
      </x:c>
      <x:c r="J287" s="9"/>
    </x:row>
    <x:row r="288" ht="31" hidden="0" customHeight="1">
      <x:c r="A288" s="8" t="n">
        <x:v>284</x:v>
      </x:c>
      <x:c r="B288" s="8" t="str">
        <x:v>PE</x:v>
      </x:c>
      <x:c r="C288" s="8" t="str">
        <x:v>XPE1:7b</x:v>
      </x:c>
      <x:c r="D288" s="8" t="str">
        <x:v>SQ1:PE</x:v>
      </x:c>
      <x:c r="E288" s="8" t="str">
        <x:v>2,5 мм²</x:v>
      </x:c>
      <x:c r="F288" s="8" t="str">
        <x:v>ж/з</x:v>
      </x:c>
      <x:c r="G288" s="8" t="str">
        <x:v>ШС1</x:v>
      </x:c>
      <x:c r="H288" s="8" t="str">
        <x:v>Провод</x:v>
      </x:c>
      <x:c r="I288" s="8" t="str">
        <x:v>Переход через MTU-2.5PE; зажим аппарата проверить</x:v>
      </x:c>
      <x:c r="J288" s="9"/>
    </x:row>
    <x:row r="289" ht="31" hidden="0" customHeight="1">
      <x:c r="A289" s="8" t="n">
        <x:v>285</x:v>
      </x:c>
      <x:c r="B289" s="8" t="str">
        <x:v>PE</x:v>
      </x:c>
      <x:c r="C289" s="8" t="str">
        <x:v>XPE1:8b</x:v>
      </x:c>
      <x:c r="D289" s="8" t="str">
        <x:v>XS1:PE</x:v>
      </x:c>
      <x:c r="E289" s="8" t="str">
        <x:v>2,5 мм²</x:v>
      </x:c>
      <x:c r="F289" s="8" t="str">
        <x:v>ж/з</x:v>
      </x:c>
      <x:c r="G289" s="8" t="str">
        <x:v>ШС1</x:v>
      </x:c>
      <x:c r="H289" s="8" t="str">
        <x:v>Провод</x:v>
      </x:c>
      <x:c r="I289" s="8" t="str">
        <x:v>Переход через MTU-2.5PE; зажим аппарата проверить</x:v>
      </x:c>
      <x:c r="J289" s="9"/>
    </x:row>
    <x:row r="290" ht="31" hidden="0" customHeight="1">
      <x:c r="A290" s="8" t="n">
        <x:v>286</x:v>
      </x:c>
      <x:c r="B290" s="8" t="str">
        <x:v>PE</x:v>
      </x:c>
      <x:c r="C290" s="8" t="str">
        <x:v>XT1:PE</x:v>
      </x:c>
      <x:c r="D290" s="8" t="str">
        <x:v>PE1:01</x:v>
      </x:c>
      <x:c r="E290" s="8" t="str">
        <x:v>6 мм²</x:v>
      </x:c>
      <x:c r="F290" s="8" t="str">
        <x:v>ж/з</x:v>
      </x:c>
      <x:c r="G290" s="8" t="str">
        <x:v>ШС1</x:v>
      </x:c>
      <x:c r="H290" s="8" t="str">
        <x:v>Провод</x:v>
      </x:c>
      <x:c r="I290" s="8" t="str"/>
      <x:c r="J290" s="9"/>
    </x:row>
    <x:row r="291" ht="31" hidden="0" customHeight="1">
      <x:c r="A291" s="8" t="n">
        <x:v>287</x:v>
      </x:c>
      <x:c r="B291" s="8" t="str">
        <x:v>SH7a</x:v>
      </x:c>
      <x:c r="C291" s="8" t="str">
        <x:v>A9:OUT 2</x:v>
      </x:c>
      <x:c r="D291" s="8" t="str">
        <x:v>W7a:экран</x:v>
      </x:c>
      <x:c r="E291" s="8" t="str">
        <x:v>—</x:v>
      </x:c>
      <x:c r="F291" s="8" t="str">
        <x:v>—</x:v>
      </x:c>
      <x:c r="G291" s="8" t="str">
        <x:v>ШС1</x:v>
      </x:c>
      <x:c r="H291" s="8" t="str">
        <x:v>Экран</x:v>
      </x:c>
      <x:c r="I291" s="8" t="str">
        <x:v>Экран у ПЛК изолировать; с IN и SG не объединять</x:v>
      </x:c>
      <x:c r="J291" s="9"/>
    </x:row>
    <x:row r="292" ht="31" hidden="0" customHeight="1">
      <x:c r="A292" s="8" t="n">
        <x:v>288</x:v>
      </x:c>
      <x:c r="B292" s="8" t="str">
        <x:v>W3</x:v>
      </x:c>
      <x:c r="C292" s="8" t="str">
        <x:v>A1:ETH</x:v>
      </x:c>
      <x:c r="D292" s="8" t="str">
        <x:v>A8:ETH 1</x:v>
      </x:c>
      <x:c r="E292" s="8" t="str">
        <x:v>—</x:v>
      </x:c>
      <x:c r="F292" s="8" t="str">
        <x:v>—</x:v>
      </x:c>
      <x:c r="G292" s="8" t="str">
        <x:v>ШС1</x:v>
      </x:c>
      <x:c r="H292" s="8" t="str">
        <x:v>Ethernet</x:v>
      </x:c>
      <x:c r="I292" s="8" t="str">
        <x:v>RJ45, все 8 контактов 1:1; Cat.5e</x:v>
      </x:c>
      <x:c r="J292" s="9"/>
    </x:row>
    <x:row r="293" ht="31" hidden="0" customHeight="1">
      <x:c r="A293" s="8" t="n">
        <x:v>289</x:v>
      </x:c>
      <x:c r="B293" s="8" t="str">
        <x:v>2</x:v>
      </x:c>
      <x:c r="C293" s="8" t="str">
        <x:v>XT8:2</x:v>
      </x:c>
      <x:c r="D293" s="8" t="str">
        <x:v>ШО1.XT8:2</x:v>
      </x:c>
      <x:c r="E293" s="8" t="str">
        <x:v>1,5 мм²</x:v>
      </x:c>
      <x:c r="F293" s="8" t="str">
        <x:v>по номеру жилы</x:v>
      </x:c>
      <x:c r="G293" s="8" t="str">
        <x:v>ШС1 ↔ ШО1</x:v>
      </x:c>
      <x:c r="H293" s="8" t="str">
        <x:v>Кабель W8</x:v>
      </x:c>
      <x:c r="I293" s="8" t="str">
        <x:v>W8: 12×1,5 мм² с PE; жилы 1 / 2 / PE; до 15 м</x:v>
      </x:c>
      <x:c r="J293" s="9"/>
    </x:row>
    <x:row r="294" ht="31" hidden="0" customHeight="1">
      <x:c r="A294" s="8" t="n">
        <x:v>290</x:v>
      </x:c>
      <x:c r="B294" s="8" t="str">
        <x:v>6</x:v>
      </x:c>
      <x:c r="C294" s="8" t="str">
        <x:v>XT9:1</x:v>
      </x:c>
      <x:c r="D294" s="8" t="str">
        <x:v>ШО1.XT9:1</x:v>
      </x:c>
      <x:c r="E294" s="8" t="str">
        <x:v>1,5 мм²</x:v>
      </x:c>
      <x:c r="F294" s="8" t="str">
        <x:v>по номеру жилы</x:v>
      </x:c>
      <x:c r="G294" s="8" t="str">
        <x:v>ШС1 ↔ ШО1</x:v>
      </x:c>
      <x:c r="H294" s="8" t="str">
        <x:v>Кабель W8</x:v>
      </x:c>
      <x:c r="I294" s="8" t="str">
        <x:v>Жила 3; одинаковый номер клеммы с двух сторон</x:v>
      </x:c>
      <x:c r="J294" s="9"/>
    </x:row>
    <x:row r="295" ht="31" hidden="0" customHeight="1">
      <x:c r="A295" s="8" t="n">
        <x:v>291</x:v>
      </x:c>
      <x:c r="B295" s="8" t="str">
        <x:v>8</x:v>
      </x:c>
      <x:c r="C295" s="8" t="str">
        <x:v>XT8:1</x:v>
      </x:c>
      <x:c r="D295" s="8" t="str">
        <x:v>ШО1.XT8:1</x:v>
      </x:c>
      <x:c r="E295" s="8" t="str">
        <x:v>1,5 мм²</x:v>
      </x:c>
      <x:c r="F295" s="8" t="str">
        <x:v>по номеру жилы</x:v>
      </x:c>
      <x:c r="G295" s="8" t="str">
        <x:v>ШС1 ↔ ШО1</x:v>
      </x:c>
      <x:c r="H295" s="8" t="str">
        <x:v>Кабель W8</x:v>
      </x:c>
      <x:c r="I295" s="8" t="str">
        <x:v>W8: 12×1,5 мм² с PE; жилы 1 / 2 / PE; до 15 м</x:v>
      </x:c>
      <x:c r="J295" s="9"/>
    </x:row>
    <x:row r="296" ht="31" hidden="0" customHeight="1">
      <x:c r="A296" s="8" t="n">
        <x:v>292</x:v>
      </x:c>
      <x:c r="B296" s="8" t="str">
        <x:v>13</x:v>
      </x:c>
      <x:c r="C296" s="8" t="str">
        <x:v>XT9:2</x:v>
      </x:c>
      <x:c r="D296" s="8" t="str">
        <x:v>ШО1.XT9:2</x:v>
      </x:c>
      <x:c r="E296" s="8" t="str">
        <x:v>1,5 мм²</x:v>
      </x:c>
      <x:c r="F296" s="8" t="str">
        <x:v>по номеру жилы</x:v>
      </x:c>
      <x:c r="G296" s="8" t="str">
        <x:v>ШС1 ↔ ШО1</x:v>
      </x:c>
      <x:c r="H296" s="8" t="str">
        <x:v>Кабель W8</x:v>
      </x:c>
      <x:c r="I296" s="8" t="str">
        <x:v>Жила 4; одинаковый номер клеммы с двух сторон</x:v>
      </x:c>
      <x:c r="J296" s="9"/>
    </x:row>
    <x:row r="297" ht="31" hidden="0" customHeight="1">
      <x:c r="A297" s="8" t="n">
        <x:v>293</x:v>
      </x:c>
      <x:c r="B297" s="8" t="str">
        <x:v>20</x:v>
      </x:c>
      <x:c r="C297" s="8" t="str">
        <x:v>XT9:3</x:v>
      </x:c>
      <x:c r="D297" s="8" t="str">
        <x:v>ШО1.XT9:3</x:v>
      </x:c>
      <x:c r="E297" s="8" t="str">
        <x:v>1,5 мм²</x:v>
      </x:c>
      <x:c r="F297" s="8" t="str">
        <x:v>по номеру жилы</x:v>
      </x:c>
      <x:c r="G297" s="8" t="str">
        <x:v>ШС1 ↔ ШО1</x:v>
      </x:c>
      <x:c r="H297" s="8" t="str">
        <x:v>Кабель W8</x:v>
      </x:c>
      <x:c r="I297" s="8" t="str">
        <x:v>Жила 5; одинаковый номер клеммы с двух сторон</x:v>
      </x:c>
      <x:c r="J297" s="9"/>
    </x:row>
    <x:row r="298" ht="31" hidden="0" customHeight="1">
      <x:c r="A298" s="8" t="n">
        <x:v>294</x:v>
      </x:c>
      <x:c r="B298" s="8" t="str">
        <x:v>21</x:v>
      </x:c>
      <x:c r="C298" s="8" t="str">
        <x:v>XT9:4</x:v>
      </x:c>
      <x:c r="D298" s="8" t="str">
        <x:v>ШО1.XT9:4</x:v>
      </x:c>
      <x:c r="E298" s="8" t="str">
        <x:v>1,5 мм²</x:v>
      </x:c>
      <x:c r="F298" s="8" t="str">
        <x:v>по номеру жилы</x:v>
      </x:c>
      <x:c r="G298" s="8" t="str">
        <x:v>ШС1 ↔ ШО1</x:v>
      </x:c>
      <x:c r="H298" s="8" t="str">
        <x:v>Кабель W8</x:v>
      </x:c>
      <x:c r="I298" s="8" t="str">
        <x:v>Жила 6; одинаковый номер клеммы с двух сторон</x:v>
      </x:c>
      <x:c r="J298" s="9"/>
    </x:row>
    <x:row r="299" ht="31" hidden="0" customHeight="1">
      <x:c r="A299" s="8" t="n">
        <x:v>295</x:v>
      </x:c>
      <x:c r="B299" s="8" t="str">
        <x:v>22</x:v>
      </x:c>
      <x:c r="C299" s="8" t="str">
        <x:v>XT9:5</x:v>
      </x:c>
      <x:c r="D299" s="8" t="str">
        <x:v>ШО1.XT9:5</x:v>
      </x:c>
      <x:c r="E299" s="8" t="str">
        <x:v>1,5 мм²</x:v>
      </x:c>
      <x:c r="F299" s="8" t="str">
        <x:v>по номеру жилы</x:v>
      </x:c>
      <x:c r="G299" s="8" t="str">
        <x:v>ШС1 ↔ ШО1</x:v>
      </x:c>
      <x:c r="H299" s="8" t="str">
        <x:v>Кабель W8</x:v>
      </x:c>
      <x:c r="I299" s="8" t="str">
        <x:v>Жила 7; одинаковый номер клеммы с двух сторон</x:v>
      </x:c>
      <x:c r="J299" s="9"/>
    </x:row>
    <x:row r="300" ht="31" hidden="0" customHeight="1">
      <x:c r="A300" s="8" t="n">
        <x:v>296</x:v>
      </x:c>
      <x:c r="B300" s="8" t="str">
        <x:v>23</x:v>
      </x:c>
      <x:c r="C300" s="8" t="str">
        <x:v>XT9:6</x:v>
      </x:c>
      <x:c r="D300" s="8" t="str">
        <x:v>ШО1.XT9:6</x:v>
      </x:c>
      <x:c r="E300" s="8" t="str">
        <x:v>1,5 мм²</x:v>
      </x:c>
      <x:c r="F300" s="8" t="str">
        <x:v>по номеру жилы</x:v>
      </x:c>
      <x:c r="G300" s="8" t="str">
        <x:v>ШС1 ↔ ШО1</x:v>
      </x:c>
      <x:c r="H300" s="8" t="str">
        <x:v>Кабель W8</x:v>
      </x:c>
      <x:c r="I300" s="8" t="str">
        <x:v>Жила 8; одинаковый номер клеммы с двух сторон</x:v>
      </x:c>
      <x:c r="J300" s="9"/>
    </x:row>
    <x:row r="301" ht="31" hidden="0" customHeight="1">
      <x:c r="A301" s="8" t="n">
        <x:v>297</x:v>
      </x:c>
      <x:c r="B301" s="8" t="str">
        <x:v>24</x:v>
      </x:c>
      <x:c r="C301" s="8" t="str">
        <x:v>XT9:7</x:v>
      </x:c>
      <x:c r="D301" s="8" t="str">
        <x:v>ШО1.XT9:7</x:v>
      </x:c>
      <x:c r="E301" s="8" t="str">
        <x:v>1,5 мм²</x:v>
      </x:c>
      <x:c r="F301" s="8" t="str">
        <x:v>по номеру жилы</x:v>
      </x:c>
      <x:c r="G301" s="8" t="str">
        <x:v>ШС1 ↔ ШО1</x:v>
      </x:c>
      <x:c r="H301" s="8" t="str">
        <x:v>Кабель W8</x:v>
      </x:c>
      <x:c r="I301" s="8" t="str">
        <x:v>Жила 9; одинаковый номер клеммы с двух сторон</x:v>
      </x:c>
      <x:c r="J301" s="9"/>
    </x:row>
    <x:row r="302" ht="31" hidden="0" customHeight="1">
      <x:c r="A302" s="8" t="n">
        <x:v>298</x:v>
      </x:c>
      <x:c r="B302" s="8" t="str">
        <x:v>107</x:v>
      </x:c>
      <x:c r="C302" s="8" t="str">
        <x:v>XT9:8</x:v>
      </x:c>
      <x:c r="D302" s="8" t="str">
        <x:v>ШО1.XT9:8</x:v>
      </x:c>
      <x:c r="E302" s="8" t="str">
        <x:v>1,5 мм²</x:v>
      </x:c>
      <x:c r="F302" s="8" t="str">
        <x:v>по номеру жилы</x:v>
      </x:c>
      <x:c r="G302" s="8" t="str">
        <x:v>ШС1 ↔ ШО1</x:v>
      </x:c>
      <x:c r="H302" s="8" t="str">
        <x:v>Кабель W8</x:v>
      </x:c>
      <x:c r="I302" s="8" t="str">
        <x:v>Жила 10; одинаковый номер клеммы с двух сторон</x:v>
      </x:c>
      <x:c r="J302" s="9"/>
    </x:row>
    <x:row r="303" ht="31" hidden="0" customHeight="1">
      <x:c r="A303" s="8" t="n">
        <x:v>299</x:v>
      </x:c>
      <x:c r="B303" s="8" t="str">
        <x:v>PE</x:v>
      </x:c>
      <x:c r="C303" s="8" t="str">
        <x:v>XT8:PE</x:v>
      </x:c>
      <x:c r="D303" s="8" t="str">
        <x:v>ШО1.XT8:PE</x:v>
      </x:c>
      <x:c r="E303" s="8" t="str">
        <x:v>1,5 мм²</x:v>
      </x:c>
      <x:c r="F303" s="8" t="str">
        <x:v>ж/з</x:v>
      </x:c>
      <x:c r="G303" s="8" t="str">
        <x:v>ШС1 ↔ ШО1</x:v>
      </x:c>
      <x:c r="H303" s="8" t="str">
        <x:v>Кабель W8</x:v>
      </x:c>
      <x:c r="I303" s="8" t="str">
        <x:v>W8: 12×1,5 мм² с PE; жилы 1 / 2 / PE; до 15 м</x:v>
      </x:c>
      <x:c r="J303" s="9"/>
    </x:row>
    <x:row r="304" ht="31" hidden="0" customHeight="1">
      <x:c r="A304" s="8" t="n">
        <x:v>300</x:v>
      </x:c>
      <x:c r="B304" s="8" t="str">
        <x:v>W4</x:v>
      </x:c>
      <x:c r="C304" s="8" t="str">
        <x:v>A8:ETH 2</x:v>
      </x:c>
      <x:c r="D304" s="8" t="str">
        <x:v>ШО1.XJ1:IN</x:v>
      </x:c>
      <x:c r="E304" s="8" t="str">
        <x:v>—</x:v>
      </x:c>
      <x:c r="F304" s="8" t="str">
        <x:v>—</x:v>
      </x:c>
      <x:c r="G304" s="8" t="str">
        <x:v>ШС1 ↔ ШО1</x:v>
      </x:c>
      <x:c r="H304" s="8" t="str">
        <x:v>Ethernet</x:v>
      </x:c>
      <x:c r="I304" s="8" t="str">
        <x:v>RJ45, все 8 контактов 1:1; Cat.5e</x:v>
      </x:c>
      <x:c r="J304" s="9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0" hidden="0" customWidth="1"/>
    <x:col min="4" max="4" width="21" hidden="0" customWidth="1"/>
    <x:col min="5" max="5" width="60" hidden="0" customWidth="1"/>
    <x:col min="6" max="6" width="52" hidden="0" customWidth="1"/>
    <x:col min="7" max="7" width="35" hidden="0" customWidth="1"/>
  </x:cols>
  <x:sheetData>
    <x:row r="1" ht="28" customHeight="1">
      <x:c r="A1" s="5" t="str">
        <x:v>X2002 — клеммы и шины. Р27</x:v>
      </x:c>
      <x:c r="B1" s="5"/>
      <x:c r="C1" s="5"/>
      <x:c r="D1" s="5"/>
      <x:c r="E1" s="5"/>
      <x:c r="F1" s="5"/>
      <x:c r="G1" s="5"/>
    </x:row>
    <x:row r="2" ht="44" customHeight="1">
      <x:c r="A2" s="4" t="str">
        <x:v>XT1–XT11 по порядку; a/b — стороны проходной клеммы. N1, PE1, PE2, ШО1.PE показаны полностью, включая свободные зажимы.</x:v>
      </x:c>
      <x:c r="B2" s="4"/>
      <x:c r="C2" s="4"/>
      <x:c r="D2" s="4"/>
      <x:c r="E2" s="4"/>
      <x:c r="F2" s="4"/>
      <x:c r="G2" s="4"/>
    </x:row>
    <x:row r="3">
      <x:c r="A3" s="4"/>
      <x:c r="B3" s="4"/>
      <x:c r="C3" s="4"/>
      <x:c r="D3" s="4"/>
      <x:c r="E3" s="4"/>
      <x:c r="F3" s="4"/>
      <x:c r="G3" s="4"/>
    </x:row>
    <x:row r="4" ht="31" hidden="0" customHeight="1">
      <x:c r="A4" s="7" t="str">
        <x:v>Шкаф</x:v>
      </x:c>
      <x:c r="B4" s="7" t="str">
        <x:v>Клемма</x:v>
      </x:c>
      <x:c r="C4" s="7" t="str">
        <x:v>Цепь</x:v>
      </x:c>
      <x:c r="D4" s="7" t="str">
        <x:v>Тип</x:v>
      </x:c>
      <x:c r="E4" s="7" t="str">
        <x:v>Внутренняя сторона / сторона a</x:v>
      </x:c>
      <x:c r="F4" s="7" t="str">
        <x:v>Внешняя сторона / сторона b</x:v>
      </x:c>
      <x:c r="G4" s="7" t="str">
        <x:v>Кабель / примечание</x:v>
      </x:c>
    </x:row>
    <x:row r="5" ht="31" hidden="0" customHeight="1">
      <x:c r="A5" s="8" t="str">
        <x:v>ШС1</x:v>
      </x:c>
      <x:c r="B5" s="8" t="str">
        <x:v>XT1:1</x:v>
      </x:c>
      <x:c r="C5" s="8" t="str">
        <x:v>A1</x:v>
      </x:c>
      <x:c r="D5" s="8" t="str">
        <x:v>MTU-10</x:v>
      </x:c>
      <x:c r="E5" s="8" t="str">
        <x:v>QS1:1</x:v>
      </x:c>
      <x:c r="F5" s="8" t="str">
        <x:v>Сеть заказчика:L1</x:v>
      </x:c>
      <x:c r="G5" s="8" t="str">
        <x:v>W1</x:v>
      </x:c>
    </x:row>
    <x:row r="6" ht="31" hidden="0" customHeight="1">
      <x:c r="A6" s="8" t="str">
        <x:v>ШС1</x:v>
      </x:c>
      <x:c r="B6" s="8" t="str">
        <x:v>XT1:2</x:v>
      </x:c>
      <x:c r="C6" s="8" t="str">
        <x:v>B1</x:v>
      </x:c>
      <x:c r="D6" s="8" t="str">
        <x:v>MTU-10</x:v>
      </x:c>
      <x:c r="E6" s="8" t="str">
        <x:v>QS1:3</x:v>
      </x:c>
      <x:c r="F6" s="8" t="str">
        <x:v>Сеть заказчика:L2</x:v>
      </x:c>
      <x:c r="G6" s="8" t="str">
        <x:v>W1</x:v>
      </x:c>
    </x:row>
    <x:row r="7" ht="31" hidden="0" customHeight="1">
      <x:c r="A7" s="8" t="str">
        <x:v>ШС1</x:v>
      </x:c>
      <x:c r="B7" s="8" t="str">
        <x:v>XT1:3</x:v>
      </x:c>
      <x:c r="C7" s="8" t="str">
        <x:v>C1</x:v>
      </x:c>
      <x:c r="D7" s="8" t="str">
        <x:v>MTU-10</x:v>
      </x:c>
      <x:c r="E7" s="8" t="str">
        <x:v>QS1:5</x:v>
      </x:c>
      <x:c r="F7" s="8" t="str">
        <x:v>Сеть заказчика:L3</x:v>
      </x:c>
      <x:c r="G7" s="8" t="str">
        <x:v>W1</x:v>
      </x:c>
    </x:row>
    <x:row r="8" ht="31" hidden="0" customHeight="1">
      <x:c r="A8" s="8" t="str">
        <x:v>ШС1</x:v>
      </x:c>
      <x:c r="B8" s="8" t="str">
        <x:v>XT1:4</x:v>
      </x:c>
      <x:c r="C8" s="8" t="str">
        <x:v>N</x:v>
      </x:c>
      <x:c r="D8" s="8" t="str">
        <x:v>MTU-10BL</x:v>
      </x:c>
      <x:c r="E8" s="8" t="str">
        <x:v>N1:01</x:v>
      </x:c>
      <x:c r="F8" s="8" t="str">
        <x:v>Сеть заказчика:N</x:v>
      </x:c>
      <x:c r="G8" s="8" t="str">
        <x:v>W1</x:v>
      </x:c>
    </x:row>
    <x:row r="9" ht="31" hidden="0" customHeight="1">
      <x:c r="A9" s="8" t="str">
        <x:v>ШС1</x:v>
      </x:c>
      <x:c r="B9" s="8" t="str">
        <x:v>XT1:PE</x:v>
      </x:c>
      <x:c r="C9" s="8" t="str">
        <x:v>PE</x:v>
      </x:c>
      <x:c r="D9" s="8" t="str">
        <x:v>MTU-10PE</x:v>
      </x:c>
      <x:c r="E9" s="8" t="str">
        <x:v>PE1:01</x:v>
      </x:c>
      <x:c r="F9" s="8" t="str">
        <x:v>Сеть заказчика:PE</x:v>
      </x:c>
      <x:c r="G9" s="8" t="str">
        <x:v>W1</x:v>
      </x:c>
    </x:row>
    <x:row r="10" ht="31" hidden="0" customHeight="1">
      <x:c r="A10" s="8" t="str">
        <x:v>ШС1</x:v>
      </x:c>
      <x:c r="B10" s="8" t="str">
        <x:v>XT2:1</x:v>
      </x:c>
      <x:c r="C10" s="8" t="str">
        <x:v>4</x:v>
      </x:c>
      <x:c r="D10" s="8" t="str">
        <x:v>MTU-2.5</x:v>
      </x:c>
      <x:c r="E10" s="8" t="str">
        <x:v>FU2:2; XT2:4</x:v>
      </x:c>
      <x:c r="F10" s="8" t="str">
        <x:v>B1:+</x:v>
      </x:c>
      <x:c r="G10" s="8" t="str">
        <x:v>W11</x:v>
      </x:c>
    </x:row>
    <x:row r="11" ht="31" hidden="0" customHeight="1">
      <x:c r="A11" s="8" t="str">
        <x:v>ШС1</x:v>
      </x:c>
      <x:c r="B11" s="8" t="str">
        <x:v>XT2:2</x:v>
      </x:c>
      <x:c r="C11" s="8" t="str">
        <x:v>2</x:v>
      </x:c>
      <x:c r="D11" s="8" t="str">
        <x:v>MTU-2.5BL</x:v>
      </x:c>
      <x:c r="E11" s="8" t="str">
        <x:v>XD2:08b</x:v>
      </x:c>
      <x:c r="F11" s="8" t="str">
        <x:v>B1:0</x:v>
      </x:c>
      <x:c r="G11" s="8" t="str">
        <x:v>W11</x:v>
      </x:c>
    </x:row>
    <x:row r="12" ht="31" hidden="0" customHeight="1">
      <x:c r="A12" s="8" t="str">
        <x:v>ШС1</x:v>
      </x:c>
      <x:c r="B12" s="8" t="str">
        <x:v>XT2:3</x:v>
      </x:c>
      <x:c r="C12" s="8" t="str">
        <x:v>25</x:v>
      </x:c>
      <x:c r="D12" s="8" t="str">
        <x:v>MTU-2.5</x:v>
      </x:c>
      <x:c r="E12" s="8" t="str">
        <x:v>A1:X5</x:v>
      </x:c>
      <x:c r="F12" s="8" t="str">
        <x:v>B1:OUT</x:v>
      </x:c>
      <x:c r="G12" s="8" t="str">
        <x:v>W11</x:v>
      </x:c>
    </x:row>
    <x:row r="13" ht="31" hidden="0" customHeight="1">
      <x:c r="A13" s="8" t="str">
        <x:v>ШС1</x:v>
      </x:c>
      <x:c r="B13" s="8" t="str">
        <x:v>XT2:4</x:v>
      </x:c>
      <x:c r="C13" s="8" t="str">
        <x:v>4</x:v>
      </x:c>
      <x:c r="D13" s="8" t="str">
        <x:v>MTU-2.5</x:v>
      </x:c>
      <x:c r="E13" s="8" t="str">
        <x:v>XT2:1; XT2:7</x:v>
      </x:c>
      <x:c r="F13" s="8" t="str">
        <x:v>B2:a</x:v>
      </x:c>
      <x:c r="G13" s="8" t="str">
        <x:v>W12</x:v>
      </x:c>
    </x:row>
    <x:row r="14" ht="31" hidden="0" customHeight="1">
      <x:c r="A14" s="8" t="str">
        <x:v>ШС1</x:v>
      </x:c>
      <x:c r="B14" s="8" t="str">
        <x:v>XT2:6</x:v>
      </x:c>
      <x:c r="C14" s="8" t="str">
        <x:v>NC</x:v>
      </x:c>
      <x:c r="D14" s="8" t="str">
        <x:v>MTU-2.5</x:v>
      </x:c>
      <x:c r="E14" s="8" t="str">
        <x:v>Свободна</x:v>
      </x:c>
      <x:c r="F14" s="8" t="str">
        <x:v>Не подключать</x:v>
      </x:c>
      <x:c r="G14" s="8" t="str">
        <x:v>-</x:v>
      </x:c>
    </x:row>
    <x:row r="15" ht="31" hidden="0" customHeight="1">
      <x:c r="A15" s="8" t="str">
        <x:v>ШС1</x:v>
      </x:c>
      <x:c r="B15" s="8" t="str">
        <x:v>XT2:5</x:v>
      </x:c>
      <x:c r="C15" s="8" t="str">
        <x:v>26</x:v>
      </x:c>
      <x:c r="D15" s="8" t="str">
        <x:v>MTU-2.5</x:v>
      </x:c>
      <x:c r="E15" s="8" t="str">
        <x:v>A1:X6</x:v>
      </x:c>
      <x:c r="F15" s="8" t="str">
        <x:v>B2:b</x:v>
      </x:c>
      <x:c r="G15" s="8" t="str">
        <x:v>W12</x:v>
      </x:c>
    </x:row>
    <x:row r="16" ht="31" hidden="0" customHeight="1">
      <x:c r="A16" s="8" t="str">
        <x:v>ШС1</x:v>
      </x:c>
      <x:c r="B16" s="8" t="str">
        <x:v>XT2:7</x:v>
      </x:c>
      <x:c r="C16" s="8" t="str">
        <x:v>4</x:v>
      </x:c>
      <x:c r="D16" s="8" t="str">
        <x:v>MTU-2.5</x:v>
      </x:c>
      <x:c r="E16" s="8" t="str">
        <x:v>XT2:4; XT2:10</x:v>
      </x:c>
      <x:c r="F16" s="8" t="str">
        <x:v>B3:a</x:v>
      </x:c>
      <x:c r="G16" s="8" t="str">
        <x:v>W13</x:v>
      </x:c>
    </x:row>
    <x:row r="17" ht="31" hidden="0" customHeight="1">
      <x:c r="A17" s="8" t="str">
        <x:v>ШС1</x:v>
      </x:c>
      <x:c r="B17" s="8" t="str">
        <x:v>XT2:9</x:v>
      </x:c>
      <x:c r="C17" s="8" t="str">
        <x:v>NC</x:v>
      </x:c>
      <x:c r="D17" s="8" t="str">
        <x:v>MTU-2.5</x:v>
      </x:c>
      <x:c r="E17" s="8" t="str">
        <x:v>Свободна</x:v>
      </x:c>
      <x:c r="F17" s="8" t="str">
        <x:v>Не подключать</x:v>
      </x:c>
      <x:c r="G17" s="8" t="str">
        <x:v>-</x:v>
      </x:c>
    </x:row>
    <x:row r="18" ht="31" hidden="0" customHeight="1">
      <x:c r="A18" s="8" t="str">
        <x:v>ШС1</x:v>
      </x:c>
      <x:c r="B18" s="8" t="str">
        <x:v>XT2:8</x:v>
      </x:c>
      <x:c r="C18" s="8" t="str">
        <x:v>27</x:v>
      </x:c>
      <x:c r="D18" s="8" t="str">
        <x:v>MTU-2.5</x:v>
      </x:c>
      <x:c r="E18" s="8" t="str">
        <x:v>A1:X7</x:v>
      </x:c>
      <x:c r="F18" s="8" t="str">
        <x:v>B3:b</x:v>
      </x:c>
      <x:c r="G18" s="8" t="str">
        <x:v>W13</x:v>
      </x:c>
    </x:row>
    <x:row r="19" ht="31" hidden="0" customHeight="1">
      <x:c r="A19" s="8" t="str">
        <x:v>ШС1</x:v>
      </x:c>
      <x:c r="B19" s="8" t="str">
        <x:v>XT2:10</x:v>
      </x:c>
      <x:c r="C19" s="8" t="str">
        <x:v>4</x:v>
      </x:c>
      <x:c r="D19" s="8" t="str">
        <x:v>MTU-2.5</x:v>
      </x:c>
      <x:c r="E19" s="8" t="str">
        <x:v>XT2:7; XT2:13</x:v>
      </x:c>
      <x:c r="F19" s="8" t="str">
        <x:v>B4:a</x:v>
      </x:c>
      <x:c r="G19" s="8" t="str">
        <x:v>W14</x:v>
      </x:c>
    </x:row>
    <x:row r="20" ht="31" hidden="0" customHeight="1">
      <x:c r="A20" s="8" t="str">
        <x:v>ШС1</x:v>
      </x:c>
      <x:c r="B20" s="8" t="str">
        <x:v>XT2:12</x:v>
      </x:c>
      <x:c r="C20" s="8" t="str">
        <x:v>NC</x:v>
      </x:c>
      <x:c r="D20" s="8" t="str">
        <x:v>MTU-2.5</x:v>
      </x:c>
      <x:c r="E20" s="8" t="str">
        <x:v>Свободна</x:v>
      </x:c>
      <x:c r="F20" s="8" t="str">
        <x:v>Не подключать</x:v>
      </x:c>
      <x:c r="G20" s="8" t="str">
        <x:v>-</x:v>
      </x:c>
    </x:row>
    <x:row r="21" ht="31" hidden="0" customHeight="1">
      <x:c r="A21" s="8" t="str">
        <x:v>ШС1</x:v>
      </x:c>
      <x:c r="B21" s="8" t="str">
        <x:v>XT2:11</x:v>
      </x:c>
      <x:c r="C21" s="8" t="str">
        <x:v>28</x:v>
      </x:c>
      <x:c r="D21" s="8" t="str">
        <x:v>MTU-2.5</x:v>
      </x:c>
      <x:c r="E21" s="8" t="str">
        <x:v>A2:0 [Л03]</x:v>
      </x:c>
      <x:c r="F21" s="8" t="str">
        <x:v>B4:b</x:v>
      </x:c>
      <x:c r="G21" s="8" t="str">
        <x:v>W14</x:v>
      </x:c>
    </x:row>
    <x:row r="22" ht="31" hidden="0" customHeight="1">
      <x:c r="A22" s="8" t="str">
        <x:v>ШС1</x:v>
      </x:c>
      <x:c r="B22" s="8" t="str">
        <x:v>XT2:13</x:v>
      </x:c>
      <x:c r="C22" s="8" t="str">
        <x:v>4</x:v>
      </x:c>
      <x:c r="D22" s="8" t="str">
        <x:v>MTU-2.5</x:v>
      </x:c>
      <x:c r="E22" s="8" t="str">
        <x:v>XT2:10; XT2:16</x:v>
      </x:c>
      <x:c r="F22" s="8" t="str">
        <x:v>B5:a</x:v>
      </x:c>
      <x:c r="G22" s="8" t="str">
        <x:v>W15</x:v>
      </x:c>
    </x:row>
    <x:row r="23" ht="31" hidden="0" customHeight="1">
      <x:c r="A23" s="8" t="str">
        <x:v>ШС1</x:v>
      </x:c>
      <x:c r="B23" s="8" t="str">
        <x:v>XT2:15</x:v>
      </x:c>
      <x:c r="C23" s="8" t="str">
        <x:v>NC</x:v>
      </x:c>
      <x:c r="D23" s="8" t="str">
        <x:v>MTU-2.5</x:v>
      </x:c>
      <x:c r="E23" s="8" t="str">
        <x:v>Свободна</x:v>
      </x:c>
      <x:c r="F23" s="8" t="str">
        <x:v>Не подключать</x:v>
      </x:c>
      <x:c r="G23" s="8" t="str">
        <x:v>-</x:v>
      </x:c>
    </x:row>
    <x:row r="24" ht="31" hidden="0" customHeight="1">
      <x:c r="A24" s="8" t="str">
        <x:v>ШС1</x:v>
      </x:c>
      <x:c r="B24" s="8" t="str">
        <x:v>XT2:14</x:v>
      </x:c>
      <x:c r="C24" s="8" t="str">
        <x:v>29</x:v>
      </x:c>
      <x:c r="D24" s="8" t="str">
        <x:v>MTU-2.5</x:v>
      </x:c>
      <x:c r="E24" s="8" t="str">
        <x:v>A2:1 [П03]</x:v>
      </x:c>
      <x:c r="F24" s="8" t="str">
        <x:v>B5:b</x:v>
      </x:c>
      <x:c r="G24" s="8" t="str">
        <x:v>W15</x:v>
      </x:c>
    </x:row>
    <x:row r="25" ht="31" hidden="0" customHeight="1">
      <x:c r="A25" s="8" t="str">
        <x:v>ШС1</x:v>
      </x:c>
      <x:c r="B25" s="8" t="str">
        <x:v>XT2:16</x:v>
      </x:c>
      <x:c r="C25" s="8" t="str">
        <x:v>4</x:v>
      </x:c>
      <x:c r="D25" s="8" t="str">
        <x:v>MTU-2.5</x:v>
      </x:c>
      <x:c r="E25" s="8" t="str">
        <x:v>XT2:13; XT2:19</x:v>
      </x:c>
      <x:c r="F25" s="8" t="str">
        <x:v>B6:a</x:v>
      </x:c>
      <x:c r="G25" s="8" t="str">
        <x:v>W16</x:v>
      </x:c>
    </x:row>
    <x:row r="26" ht="31" hidden="0" customHeight="1">
      <x:c r="A26" s="8" t="str">
        <x:v>ШС1</x:v>
      </x:c>
      <x:c r="B26" s="8" t="str">
        <x:v>XT2:18</x:v>
      </x:c>
      <x:c r="C26" s="8" t="str">
        <x:v>NC</x:v>
      </x:c>
      <x:c r="D26" s="8" t="str">
        <x:v>MTU-2.5</x:v>
      </x:c>
      <x:c r="E26" s="8" t="str">
        <x:v>Свободна</x:v>
      </x:c>
      <x:c r="F26" s="8" t="str">
        <x:v>Не подключать</x:v>
      </x:c>
      <x:c r="G26" s="8" t="str">
        <x:v>-</x:v>
      </x:c>
    </x:row>
    <x:row r="27" ht="31" hidden="0" customHeight="1">
      <x:c r="A27" s="8" t="str">
        <x:v>ШС1</x:v>
      </x:c>
      <x:c r="B27" s="8" t="str">
        <x:v>XT2:17</x:v>
      </x:c>
      <x:c r="C27" s="8" t="str">
        <x:v>31</x:v>
      </x:c>
      <x:c r="D27" s="8" t="str">
        <x:v>MTU-2.5</x:v>
      </x:c>
      <x:c r="E27" s="8" t="str">
        <x:v>A2:3 [П04]</x:v>
      </x:c>
      <x:c r="F27" s="8" t="str">
        <x:v>B6:b</x:v>
      </x:c>
      <x:c r="G27" s="8" t="str">
        <x:v>W16</x:v>
      </x:c>
    </x:row>
    <x:row r="28" ht="31" hidden="0" customHeight="1">
      <x:c r="A28" s="8" t="str">
        <x:v>ШС1</x:v>
      </x:c>
      <x:c r="B28" s="8" t="str">
        <x:v>XT2:19</x:v>
      </x:c>
      <x:c r="C28" s="8" t="str">
        <x:v>4</x:v>
      </x:c>
      <x:c r="D28" s="8" t="str">
        <x:v>MTU-2.5</x:v>
      </x:c>
      <x:c r="E28" s="8" t="str">
        <x:v>XT2:16; XT2:22</x:v>
      </x:c>
      <x:c r="F28" s="8" t="str">
        <x:v>B7:a</x:v>
      </x:c>
      <x:c r="G28" s="8" t="str">
        <x:v>W17</x:v>
      </x:c>
    </x:row>
    <x:row r="29" ht="31" hidden="0" customHeight="1">
      <x:c r="A29" s="8" t="str">
        <x:v>ШС1</x:v>
      </x:c>
      <x:c r="B29" s="8" t="str">
        <x:v>XT2:21</x:v>
      </x:c>
      <x:c r="C29" s="8" t="str">
        <x:v>NC</x:v>
      </x:c>
      <x:c r="D29" s="8" t="str">
        <x:v>MTU-2.5</x:v>
      </x:c>
      <x:c r="E29" s="8" t="str">
        <x:v>Свободна</x:v>
      </x:c>
      <x:c r="F29" s="8" t="str">
        <x:v>Не подключать</x:v>
      </x:c>
      <x:c r="G29" s="8" t="str">
        <x:v>-</x:v>
      </x:c>
    </x:row>
    <x:row r="30" ht="31" hidden="0" customHeight="1">
      <x:c r="A30" s="8" t="str">
        <x:v>ШС1</x:v>
      </x:c>
      <x:c r="B30" s="8" t="str">
        <x:v>XT2:20</x:v>
      </x:c>
      <x:c r="C30" s="8" t="str">
        <x:v>32</x:v>
      </x:c>
      <x:c r="D30" s="8" t="str">
        <x:v>MTU-2.5</x:v>
      </x:c>
      <x:c r="E30" s="8" t="str">
        <x:v>A2:4 [Л05]</x:v>
      </x:c>
      <x:c r="F30" s="8" t="str">
        <x:v>B7:b</x:v>
      </x:c>
      <x:c r="G30" s="8" t="str">
        <x:v>W17</x:v>
      </x:c>
    </x:row>
    <x:row r="31" ht="31" hidden="0" customHeight="1">
      <x:c r="A31" s="8" t="str">
        <x:v>ШС1</x:v>
      </x:c>
      <x:c r="B31" s="8" t="str">
        <x:v>XT2:22</x:v>
      </x:c>
      <x:c r="C31" s="8" t="str">
        <x:v>4</x:v>
      </x:c>
      <x:c r="D31" s="8" t="str">
        <x:v>MTU-2.5</x:v>
      </x:c>
      <x:c r="E31" s="8" t="str">
        <x:v>XT2:19; XT2:24</x:v>
      </x:c>
      <x:c r="F31" s="8" t="str">
        <x:v>B8:a</x:v>
      </x:c>
      <x:c r="G31" s="8" t="str">
        <x:v>W18</x:v>
      </x:c>
    </x:row>
    <x:row r="32" ht="31" hidden="0" customHeight="1">
      <x:c r="A32" s="8" t="str">
        <x:v>ШС1</x:v>
      </x:c>
      <x:c r="B32" s="8" t="str">
        <x:v>XT2:23</x:v>
      </x:c>
      <x:c r="C32" s="8" t="str">
        <x:v>36</x:v>
      </x:c>
      <x:c r="D32" s="8" t="str">
        <x:v>MTU-2.5</x:v>
      </x:c>
      <x:c r="E32" s="8" t="str">
        <x:v>A4:0 [Л03]</x:v>
      </x:c>
      <x:c r="F32" s="8" t="str">
        <x:v>B8:b</x:v>
      </x:c>
      <x:c r="G32" s="8" t="str">
        <x:v>W18</x:v>
      </x:c>
    </x:row>
    <x:row r="33" ht="31" hidden="0" customHeight="1">
      <x:c r="A33" s="8" t="str">
        <x:v>ШС1</x:v>
      </x:c>
      <x:c r="B33" s="8" t="str">
        <x:v>XT2:24</x:v>
      </x:c>
      <x:c r="C33" s="8" t="str">
        <x:v>4</x:v>
      </x:c>
      <x:c r="D33" s="8" t="str">
        <x:v>MTU-2.5</x:v>
      </x:c>
      <x:c r="E33" s="8" t="str">
        <x:v>XT2:22; XT2:26</x:v>
      </x:c>
      <x:c r="F33" s="8" t="str">
        <x:v>EXT1:a</x:v>
      </x:c>
      <x:c r="G33" s="8" t="str">
        <x:v>W19</x:v>
      </x:c>
    </x:row>
    <x:row r="34" ht="31" hidden="0" customHeight="1">
      <x:c r="A34" s="8" t="str">
        <x:v>ШС1</x:v>
      </x:c>
      <x:c r="B34" s="8" t="str">
        <x:v>XT2:25</x:v>
      </x:c>
      <x:c r="C34" s="8" t="str">
        <x:v>37</x:v>
      </x:c>
      <x:c r="D34" s="8" t="str">
        <x:v>MTU-2.5</x:v>
      </x:c>
      <x:c r="E34" s="8" t="str">
        <x:v>A4:1 [Л04]</x:v>
      </x:c>
      <x:c r="F34" s="8" t="str">
        <x:v>EXT1:b</x:v>
      </x:c>
      <x:c r="G34" s="8" t="str">
        <x:v>W19</x:v>
      </x:c>
    </x:row>
    <x:row r="35" ht="31" hidden="0" customHeight="1">
      <x:c r="A35" s="8" t="str">
        <x:v>ШС1</x:v>
      </x:c>
      <x:c r="B35" s="8" t="str">
        <x:v>XT2:26</x:v>
      </x:c>
      <x:c r="C35" s="8" t="str">
        <x:v>4</x:v>
      </x:c>
      <x:c r="D35" s="8" t="str">
        <x:v>MTU-2.5</x:v>
      </x:c>
      <x:c r="E35" s="8" t="str">
        <x:v>XT2:24; XT2:28</x:v>
      </x:c>
      <x:c r="F35" s="8" t="str">
        <x:v>B9:a</x:v>
      </x:c>
      <x:c r="G35" s="8" t="str">
        <x:v>W20</x:v>
      </x:c>
    </x:row>
    <x:row r="36" ht="31" hidden="0" customHeight="1">
      <x:c r="A36" s="8" t="str">
        <x:v>ШС1</x:v>
      </x:c>
      <x:c r="B36" s="8" t="str">
        <x:v>XT2:27</x:v>
      </x:c>
      <x:c r="C36" s="8" t="str">
        <x:v>38</x:v>
      </x:c>
      <x:c r="D36" s="8" t="str">
        <x:v>MTU-2.5</x:v>
      </x:c>
      <x:c r="E36" s="8" t="str">
        <x:v>A4:2 [Л05]</x:v>
      </x:c>
      <x:c r="F36" s="8" t="str">
        <x:v>B9:b</x:v>
      </x:c>
      <x:c r="G36" s="8" t="str">
        <x:v>W20</x:v>
      </x:c>
    </x:row>
    <x:row r="37" ht="31" hidden="0" customHeight="1">
      <x:c r="A37" s="8" t="str">
        <x:v>ШС1</x:v>
      </x:c>
      <x:c r="B37" s="8" t="str">
        <x:v>XT2:28</x:v>
      </x:c>
      <x:c r="C37" s="8" t="str">
        <x:v>4</x:v>
      </x:c>
      <x:c r="D37" s="8" t="str">
        <x:v>MTU-2.5</x:v>
      </x:c>
      <x:c r="E37" s="8" t="str">
        <x:v>XT2:26</x:v>
      </x:c>
      <x:c r="F37" s="8" t="str">
        <x:v>EXT2:a</x:v>
      </x:c>
      <x:c r="G37" s="8" t="str">
        <x:v>W22</x:v>
      </x:c>
    </x:row>
    <x:row r="38" ht="31" hidden="0" customHeight="1">
      <x:c r="A38" s="8" t="str">
        <x:v>ШС1</x:v>
      </x:c>
      <x:c r="B38" s="8" t="str">
        <x:v>XT2:29</x:v>
      </x:c>
      <x:c r="C38" s="8" t="str">
        <x:v>39</x:v>
      </x:c>
      <x:c r="D38" s="8" t="str">
        <x:v>MTU-2.5</x:v>
      </x:c>
      <x:c r="E38" s="8" t="str">
        <x:v>A4:3 [Л06]</x:v>
      </x:c>
      <x:c r="F38" s="8" t="str">
        <x:v>EXT2:b</x:v>
      </x:c>
      <x:c r="G38" s="8" t="str">
        <x:v>W22</x:v>
      </x:c>
    </x:row>
    <x:row r="39" ht="31" hidden="0" customHeight="1">
      <x:c r="A39" s="8" t="str">
        <x:v>ШС1</x:v>
      </x:c>
      <x:c r="B39" s="8" t="str">
        <x:v>XT3:1</x:v>
      </x:c>
      <x:c r="C39" s="8" t="str">
        <x:v>100</x:v>
      </x:c>
      <x:c r="D39" s="8" t="str">
        <x:v>MTU-2.5</x:v>
      </x:c>
      <x:c r="E39" s="8" t="str">
        <x:v>K3:22</x:v>
      </x:c>
      <x:c r="F39" s="8" t="str">
        <x:v>YV1:+</x:v>
      </x:c>
      <x:c r="G39" s="8" t="str">
        <x:v>W9.1</x:v>
      </x:c>
    </x:row>
    <x:row r="40" ht="31" hidden="0" customHeight="1">
      <x:c r="A40" s="8" t="str">
        <x:v>ШС1</x:v>
      </x:c>
      <x:c r="B40" s="8" t="str">
        <x:v>XT3:2</x:v>
      </x:c>
      <x:c r="C40" s="8" t="str">
        <x:v>2</x:v>
      </x:c>
      <x:c r="D40" s="8" t="str">
        <x:v>MTU-2.5BL</x:v>
      </x:c>
      <x:c r="E40" s="8" t="str">
        <x:v>XD2:09b; XT3:4</x:v>
      </x:c>
      <x:c r="F40" s="8" t="str">
        <x:v>YV1:-</x:v>
      </x:c>
      <x:c r="G40" s="8" t="str">
        <x:v>W9.1</x:v>
      </x:c>
    </x:row>
    <x:row r="41" ht="31" hidden="0" customHeight="1">
      <x:c r="A41" s="8" t="str">
        <x:v>ШС1</x:v>
      </x:c>
      <x:c r="B41" s="8" t="str">
        <x:v>XT3:3</x:v>
      </x:c>
      <x:c r="C41" s="8" t="str">
        <x:v>101</x:v>
      </x:c>
      <x:c r="D41" s="8" t="str">
        <x:v>MTU-2.5</x:v>
      </x:c>
      <x:c r="E41" s="8" t="str">
        <x:v>K2:22</x:v>
      </x:c>
      <x:c r="F41" s="8" t="str">
        <x:v>YV2:+</x:v>
      </x:c>
      <x:c r="G41" s="8" t="str">
        <x:v>W9.2</x:v>
      </x:c>
    </x:row>
    <x:row r="42" ht="31" hidden="0" customHeight="1">
      <x:c r="A42" s="8" t="str">
        <x:v>ШС1</x:v>
      </x:c>
      <x:c r="B42" s="8" t="str">
        <x:v>XT3:4</x:v>
      </x:c>
      <x:c r="C42" s="8" t="str">
        <x:v>2</x:v>
      </x:c>
      <x:c r="D42" s="8" t="str">
        <x:v>MTU-2.5BL</x:v>
      </x:c>
      <x:c r="E42" s="8" t="str">
        <x:v>XT3:2; XT3:6</x:v>
      </x:c>
      <x:c r="F42" s="8" t="str">
        <x:v>YV2:-</x:v>
      </x:c>
      <x:c r="G42" s="8" t="str">
        <x:v>W9.2</x:v>
      </x:c>
    </x:row>
    <x:row r="43" ht="31" hidden="0" customHeight="1">
      <x:c r="A43" s="8" t="str">
        <x:v>ШС1</x:v>
      </x:c>
      <x:c r="B43" s="8" t="str">
        <x:v>XT3:5</x:v>
      </x:c>
      <x:c r="C43" s="8" t="str">
        <x:v>102</x:v>
      </x:c>
      <x:c r="D43" s="8" t="str">
        <x:v>MTU-2.5</x:v>
      </x:c>
      <x:c r="E43" s="8" t="str">
        <x:v>K5:22</x:v>
      </x:c>
      <x:c r="F43" s="8" t="str">
        <x:v>YV3:+</x:v>
      </x:c>
      <x:c r="G43" s="8" t="str">
        <x:v>W9.3</x:v>
      </x:c>
    </x:row>
    <x:row r="44" ht="31" hidden="0" customHeight="1">
      <x:c r="A44" s="8" t="str">
        <x:v>ШС1</x:v>
      </x:c>
      <x:c r="B44" s="8" t="str">
        <x:v>XT3:6</x:v>
      </x:c>
      <x:c r="C44" s="8" t="str">
        <x:v>2</x:v>
      </x:c>
      <x:c r="D44" s="8" t="str">
        <x:v>MTU-2.5BL</x:v>
      </x:c>
      <x:c r="E44" s="8" t="str">
        <x:v>XT3:4; XT3:8</x:v>
      </x:c>
      <x:c r="F44" s="8" t="str">
        <x:v>YV3:-</x:v>
      </x:c>
      <x:c r="G44" s="8" t="str">
        <x:v>W9.3</x:v>
      </x:c>
    </x:row>
    <x:row r="45" ht="31" hidden="0" customHeight="1">
      <x:c r="A45" s="8" t="str">
        <x:v>ШС1</x:v>
      </x:c>
      <x:c r="B45" s="8" t="str">
        <x:v>XT3:7</x:v>
      </x:c>
      <x:c r="C45" s="8" t="str">
        <x:v>103</x:v>
      </x:c>
      <x:c r="D45" s="8" t="str">
        <x:v>MTU-2.5</x:v>
      </x:c>
      <x:c r="E45" s="8" t="str">
        <x:v>K4:22</x:v>
      </x:c>
      <x:c r="F45" s="8" t="str">
        <x:v>YV4:+</x:v>
      </x:c>
      <x:c r="G45" s="8" t="str">
        <x:v>W9.4</x:v>
      </x:c>
    </x:row>
    <x:row r="46" ht="31" hidden="0" customHeight="1">
      <x:c r="A46" s="8" t="str">
        <x:v>ШС1</x:v>
      </x:c>
      <x:c r="B46" s="8" t="str">
        <x:v>XT3:8</x:v>
      </x:c>
      <x:c r="C46" s="8" t="str">
        <x:v>2</x:v>
      </x:c>
      <x:c r="D46" s="8" t="str">
        <x:v>MTU-2.5BL</x:v>
      </x:c>
      <x:c r="E46" s="8" t="str">
        <x:v>XT3:6; XT3:10</x:v>
      </x:c>
      <x:c r="F46" s="8" t="str">
        <x:v>YV4:-</x:v>
      </x:c>
      <x:c r="G46" s="8" t="str">
        <x:v>W9.4</x:v>
      </x:c>
    </x:row>
    <x:row r="47" ht="31" hidden="0" customHeight="1">
      <x:c r="A47" s="8" t="str">
        <x:v>ШС1</x:v>
      </x:c>
      <x:c r="B47" s="8" t="str">
        <x:v>XT3:9</x:v>
      </x:c>
      <x:c r="C47" s="8" t="str">
        <x:v>104</x:v>
      </x:c>
      <x:c r="D47" s="8" t="str">
        <x:v>MTU-2.5</x:v>
      </x:c>
      <x:c r="E47" s="8" t="str">
        <x:v>K7:22</x:v>
      </x:c>
      <x:c r="F47" s="8" t="str">
        <x:v>YV5:+</x:v>
      </x:c>
      <x:c r="G47" s="8" t="str">
        <x:v>W9.5</x:v>
      </x:c>
    </x:row>
    <x:row r="48" ht="31" hidden="0" customHeight="1">
      <x:c r="A48" s="8" t="str">
        <x:v>ШС1</x:v>
      </x:c>
      <x:c r="B48" s="8" t="str">
        <x:v>XT3:10</x:v>
      </x:c>
      <x:c r="C48" s="8" t="str">
        <x:v>2</x:v>
      </x:c>
      <x:c r="D48" s="8" t="str">
        <x:v>MTU-2.5BL</x:v>
      </x:c>
      <x:c r="E48" s="8" t="str">
        <x:v>XT3:8; XT3:12</x:v>
      </x:c>
      <x:c r="F48" s="8" t="str">
        <x:v>YV5:-</x:v>
      </x:c>
      <x:c r="G48" s="8" t="str">
        <x:v>W9.5</x:v>
      </x:c>
    </x:row>
    <x:row r="49" ht="31" hidden="0" customHeight="1">
      <x:c r="A49" s="8" t="str">
        <x:v>ШС1</x:v>
      </x:c>
      <x:c r="B49" s="8" t="str">
        <x:v>XT3:11</x:v>
      </x:c>
      <x:c r="C49" s="8" t="str">
        <x:v>105</x:v>
      </x:c>
      <x:c r="D49" s="8" t="str">
        <x:v>MTU-2.5</x:v>
      </x:c>
      <x:c r="E49" s="8" t="str">
        <x:v>K6:22</x:v>
      </x:c>
      <x:c r="F49" s="8" t="str">
        <x:v>YV6:+</x:v>
      </x:c>
      <x:c r="G49" s="8" t="str">
        <x:v>W9.6</x:v>
      </x:c>
    </x:row>
    <x:row r="50" ht="31" hidden="0" customHeight="1">
      <x:c r="A50" s="8" t="str">
        <x:v>ШС1</x:v>
      </x:c>
      <x:c r="B50" s="8" t="str">
        <x:v>XT3:12</x:v>
      </x:c>
      <x:c r="C50" s="8" t="str">
        <x:v>2</x:v>
      </x:c>
      <x:c r="D50" s="8" t="str">
        <x:v>MTU-2.5BL</x:v>
      </x:c>
      <x:c r="E50" s="8" t="str">
        <x:v>XT3:10</x:v>
      </x:c>
      <x:c r="F50" s="8" t="str">
        <x:v>YV6:-</x:v>
      </x:c>
      <x:c r="G50" s="8" t="str">
        <x:v>W9.6</x:v>
      </x:c>
    </x:row>
    <x:row r="51" ht="31" hidden="0" customHeight="1">
      <x:c r="A51" s="8" t="str">
        <x:v>ШС1</x:v>
      </x:c>
      <x:c r="B51" s="8" t="str">
        <x:v>XT4:1</x:v>
      </x:c>
      <x:c r="C51" s="8" t="str">
        <x:v>5</x:v>
      </x:c>
      <x:c r="D51" s="8" t="str">
        <x:v>MTU-2.5</x:v>
      </x:c>
      <x:c r="E51" s="8" t="str">
        <x:v>FU3:2; A3:24V</x:v>
      </x:c>
      <x:c r="F51" s="8" t="str">
        <x:v>BP1:+</x:v>
      </x:c>
      <x:c r="G51" s="8" t="str">
        <x:v>W21</x:v>
      </x:c>
    </x:row>
    <x:row r="52" ht="31" hidden="0" customHeight="1">
      <x:c r="A52" s="8" t="str">
        <x:v>ШС1</x:v>
      </x:c>
      <x:c r="B52" s="8" t="str">
        <x:v>XT4:2</x:v>
      </x:c>
      <x:c r="C52" s="8" t="str">
        <x:v>112</x:v>
      </x:c>
      <x:c r="D52" s="8" t="str">
        <x:v>MTU-2.5</x:v>
      </x:c>
      <x:c r="E52" s="8" t="str">
        <x:v>A3:I1+</x:v>
      </x:c>
      <x:c r="F52" s="8" t="str">
        <x:v>BP1:-</x:v>
      </x:c>
      <x:c r="G52" s="8" t="str">
        <x:v>W21</x:v>
      </x:c>
    </x:row>
    <x:row r="53" ht="31" hidden="0" customHeight="1">
      <x:c r="A53" s="8" t="str">
        <x:v>ШС1</x:v>
      </x:c>
      <x:c r="B53" s="8" t="str">
        <x:v>XT5:1</x:v>
      </x:c>
      <x:c r="C53" s="8" t="str">
        <x:v>140</x:v>
      </x:c>
      <x:c r="D53" s="8" t="str">
        <x:v>MTU-2.5</x:v>
      </x:c>
      <x:c r="E53" s="8" t="str">
        <x:v>K10:11</x:v>
      </x:c>
      <x:c r="F53" s="8" t="str">
        <x:v>АСУТП:</x:v>
      </x:c>
      <x:c r="G53" s="8" t="str">
        <x:v>W23</x:v>
      </x:c>
    </x:row>
    <x:row r="54" ht="31" hidden="0" customHeight="1">
      <x:c r="A54" s="8" t="str">
        <x:v>ШС1</x:v>
      </x:c>
      <x:c r="B54" s="8" t="str">
        <x:v>XT5:2</x:v>
      </x:c>
      <x:c r="C54" s="8" t="str">
        <x:v>141</x:v>
      </x:c>
      <x:c r="D54" s="8" t="str">
        <x:v>MTU-2.5</x:v>
      </x:c>
      <x:c r="E54" s="8" t="str">
        <x:v>K10:14</x:v>
      </x:c>
      <x:c r="F54" s="8" t="str">
        <x:v>АСУТП:</x:v>
      </x:c>
      <x:c r="G54" s="8" t="str">
        <x:v>W23</x:v>
      </x:c>
    </x:row>
    <x:row r="55" ht="31" hidden="0" customHeight="1">
      <x:c r="A55" s="8" t="str">
        <x:v>ШС1</x:v>
      </x:c>
      <x:c r="B55" s="8" t="str">
        <x:v>XT5:3</x:v>
      </x:c>
      <x:c r="C55" s="8" t="str">
        <x:v>142</x:v>
      </x:c>
      <x:c r="D55" s="8" t="str">
        <x:v>MTU-2.5</x:v>
      </x:c>
      <x:c r="E55" s="8" t="str">
        <x:v>K11:11</x:v>
      </x:c>
      <x:c r="F55" s="8" t="str">
        <x:v>АСУТП:</x:v>
      </x:c>
      <x:c r="G55" s="8" t="str">
        <x:v>W23</x:v>
      </x:c>
    </x:row>
    <x:row r="56" ht="31" hidden="0" customHeight="1">
      <x:c r="A56" s="8" t="str">
        <x:v>ШС1</x:v>
      </x:c>
      <x:c r="B56" s="8" t="str">
        <x:v>XT5:4</x:v>
      </x:c>
      <x:c r="C56" s="8" t="str">
        <x:v>143</x:v>
      </x:c>
      <x:c r="D56" s="8" t="str">
        <x:v>MTU-2.5</x:v>
      </x:c>
      <x:c r="E56" s="8" t="str">
        <x:v>K11:14</x:v>
      </x:c>
      <x:c r="F56" s="8" t="str">
        <x:v>АСУТП:</x:v>
      </x:c>
      <x:c r="G56" s="8" t="str">
        <x:v>W23</x:v>
      </x:c>
    </x:row>
    <x:row r="57" ht="31" hidden="0" customHeight="1">
      <x:c r="A57" s="8" t="str">
        <x:v>ШС1</x:v>
      </x:c>
      <x:c r="B57" s="8" t="str">
        <x:v>XT5:5</x:v>
      </x:c>
      <x:c r="C57" s="8" t="str">
        <x:v>144</x:v>
      </x:c>
      <x:c r="D57" s="8" t="str">
        <x:v>MTU-2.5</x:v>
      </x:c>
      <x:c r="E57" s="8" t="str">
        <x:v>K12:11</x:v>
      </x:c>
      <x:c r="F57" s="8" t="str">
        <x:v>АСУТП:</x:v>
      </x:c>
      <x:c r="G57" s="8" t="str">
        <x:v>W23</x:v>
      </x:c>
    </x:row>
    <x:row r="58" ht="31" hidden="0" customHeight="1">
      <x:c r="A58" s="8" t="str">
        <x:v>ШС1</x:v>
      </x:c>
      <x:c r="B58" s="8" t="str">
        <x:v>XT5:6</x:v>
      </x:c>
      <x:c r="C58" s="8" t="str">
        <x:v>145</x:v>
      </x:c>
      <x:c r="D58" s="8" t="str">
        <x:v>MTU-2.5</x:v>
      </x:c>
      <x:c r="E58" s="8" t="str">
        <x:v>K12:14</x:v>
      </x:c>
      <x:c r="F58" s="8" t="str">
        <x:v>АСУТП:</x:v>
      </x:c>
      <x:c r="G58" s="8" t="str">
        <x:v>W23</x:v>
      </x:c>
    </x:row>
    <x:row r="59" ht="31" hidden="0" customHeight="1">
      <x:c r="A59" s="8" t="str">
        <x:v>ШС1</x:v>
      </x:c>
      <x:c r="B59" s="8" t="str">
        <x:v>XT6:1</x:v>
      </x:c>
      <x:c r="C59" s="8" t="str">
        <x:v>120</x:v>
      </x:c>
      <x:c r="D59" s="8" t="str">
        <x:v>MTU-2.5</x:v>
      </x:c>
      <x:c r="E59" s="8" t="str">
        <x:v>A1:COM1 +</x:v>
      </x:c>
      <x:c r="F59" s="8" t="str">
        <x:v>A10:D+</x:v>
      </x:c>
      <x:c r="G59" s="8" t="str">
        <x:v>W6</x:v>
      </x:c>
    </x:row>
    <x:row r="60" ht="31" hidden="0" customHeight="1">
      <x:c r="A60" s="8" t="str">
        <x:v>ШС1</x:v>
      </x:c>
      <x:c r="B60" s="8" t="str">
        <x:v>XT6:2</x:v>
      </x:c>
      <x:c r="C60" s="8" t="str">
        <x:v>121</x:v>
      </x:c>
      <x:c r="D60" s="8" t="str">
        <x:v>MTU-2.5</x:v>
      </x:c>
      <x:c r="E60" s="8" t="str">
        <x:v>A1:COM1 −</x:v>
      </x:c>
      <x:c r="F60" s="8" t="str">
        <x:v>A10:D-</x:v>
      </x:c>
      <x:c r="G60" s="8" t="str">
        <x:v>W6</x:v>
      </x:c>
    </x:row>
    <x:row r="61" ht="31" hidden="0" customHeight="1">
      <x:c r="A61" s="8" t="str">
        <x:v>ШС1</x:v>
      </x:c>
      <x:c r="B61" s="8" t="str">
        <x:v>XT6:3</x:v>
      </x:c>
      <x:c r="C61" s="8" t="str">
        <x:v>122</x:v>
      </x:c>
      <x:c r="D61" s="8" t="str">
        <x:v>MTU-2.5</x:v>
      </x:c>
      <x:c r="E61" s="8" t="str">
        <x:v>A1:SG</x:v>
      </x:c>
      <x:c r="F61" s="8" t="str">
        <x:v>A10:SG</x:v>
      </x:c>
      <x:c r="G61" s="8" t="str">
        <x:v>W6</x:v>
      </x:c>
    </x:row>
    <x:row r="62" ht="31" hidden="0" customHeight="1">
      <x:c r="A62" s="8" t="str">
        <x:v>ШС1</x:v>
      </x:c>
      <x:c r="B62" s="8" t="str">
        <x:v>XT7:1</x:v>
      </x:c>
      <x:c r="C62" s="8" t="str">
        <x:v>132</x:v>
      </x:c>
      <x:c r="D62" s="8" t="str">
        <x:v>MTU-2.5</x:v>
      </x:c>
      <x:c r="E62" s="8" t="str">
        <x:v>A9:IN 5</x:v>
      </x:c>
      <x:c r="F62" s="8" t="str">
        <x:v>АСУТП:A</x:v>
      </x:c>
      <x:c r="G62" s="8" t="str">
        <x:v>W7</x:v>
      </x:c>
    </x:row>
    <x:row r="63" ht="31" hidden="0" customHeight="1">
      <x:c r="A63" s="8" t="str">
        <x:v>ШС1</x:v>
      </x:c>
      <x:c r="B63" s="8" t="str">
        <x:v>XT7:2</x:v>
      </x:c>
      <x:c r="C63" s="8" t="str">
        <x:v>133</x:v>
      </x:c>
      <x:c r="D63" s="8" t="str">
        <x:v>MTU-2.5</x:v>
      </x:c>
      <x:c r="E63" s="8" t="str">
        <x:v>A9:IN 2</x:v>
      </x:c>
      <x:c r="F63" s="8" t="str">
        <x:v>АСУТП:B</x:v>
      </x:c>
      <x:c r="G63" s="8" t="str">
        <x:v>W7</x:v>
      </x:c>
    </x:row>
    <x:row r="64" ht="31" hidden="0" customHeight="1">
      <x:c r="A64" s="8" t="str">
        <x:v>ШС1</x:v>
      </x:c>
      <x:c r="B64" s="8" t="str">
        <x:v>XT7:3</x:v>
      </x:c>
      <x:c r="C64" s="8" t="str">
        <x:v>134</x:v>
      </x:c>
      <x:c r="D64" s="8" t="str">
        <x:v>MTU-2.5</x:v>
      </x:c>
      <x:c r="E64" s="8" t="str">
        <x:v>A9:IN 3</x:v>
      </x:c>
      <x:c r="F64" s="8" t="str">
        <x:v>АСУТП:Экран</x:v>
      </x:c>
      <x:c r="G64" s="8" t="str">
        <x:v>W7</x:v>
      </x:c>
    </x:row>
    <x:row r="65" ht="31" hidden="0" customHeight="1">
      <x:c r="A65" s="8" t="str">
        <x:v>ШС1</x:v>
      </x:c>
      <x:c r="B65" s="8" t="str">
        <x:v>XT8:1</x:v>
      </x:c>
      <x:c r="C65" s="8" t="str">
        <x:v>8</x:v>
      </x:c>
      <x:c r="D65" s="8" t="str">
        <x:v>MTU-2.5</x:v>
      </x:c>
      <x:c r="E65" s="8" t="str">
        <x:v>FU6:2</x:v>
      </x:c>
      <x:c r="F65" s="8" t="str">
        <x:v>ШО1.XT8:1</x:v>
      </x:c>
      <x:c r="G65" s="8" t="str">
        <x:v>W8</x:v>
      </x:c>
    </x:row>
    <x:row r="66" ht="31" hidden="0" customHeight="1">
      <x:c r="A66" s="8" t="str">
        <x:v>ШС1</x:v>
      </x:c>
      <x:c r="B66" s="8" t="str">
        <x:v>XT8:2</x:v>
      </x:c>
      <x:c r="C66" s="8" t="str">
        <x:v>2</x:v>
      </x:c>
      <x:c r="D66" s="8" t="str">
        <x:v>MTU-2.5BL</x:v>
      </x:c>
      <x:c r="E66" s="8" t="str">
        <x:v>XD2:10b</x:v>
      </x:c>
      <x:c r="F66" s="8" t="str">
        <x:v>ШО1.XT8:2</x:v>
      </x:c>
      <x:c r="G66" s="8" t="str">
        <x:v>W8</x:v>
      </x:c>
    </x:row>
    <x:row r="67" ht="31" hidden="0" customHeight="1">
      <x:c r="A67" s="8" t="str">
        <x:v>ШС1</x:v>
      </x:c>
      <x:c r="B67" s="8" t="str">
        <x:v>XT8:PE</x:v>
      </x:c>
      <x:c r="C67" s="8" t="str">
        <x:v>PE</x:v>
      </x:c>
      <x:c r="D67" s="8" t="str">
        <x:v>MTU-2.5PE</x:v>
      </x:c>
      <x:c r="E67" s="8" t="str">
        <x:v>PE2:02</x:v>
      </x:c>
      <x:c r="F67" s="8" t="str">
        <x:v>ШО1.XT8:PE</x:v>
      </x:c>
      <x:c r="G67" s="8" t="str">
        <x:v>W8</x:v>
      </x:c>
    </x:row>
    <x:row r="68" ht="31" hidden="0" customHeight="1">
      <x:c r="A68" s="8" t="str">
        <x:v>ШС1</x:v>
      </x:c>
      <x:c r="B68" s="8" t="str">
        <x:v>XT9:1</x:v>
      </x:c>
      <x:c r="C68" s="8" t="str">
        <x:v>6</x:v>
      </x:c>
      <x:c r="D68" s="8" t="str">
        <x:v>MTU-2.5</x:v>
      </x:c>
      <x:c r="E68" s="8" t="str">
        <x:v>KSR1:T33</x:v>
      </x:c>
      <x:c r="F68" s="8" t="str">
        <x:v>ШО1.XT9:1</x:v>
      </x:c>
      <x:c r="G68" s="8" t="str">
        <x:v>W8</x:v>
      </x:c>
    </x:row>
    <x:row r="69" ht="31" hidden="0" customHeight="1">
      <x:c r="A69" s="8" t="str">
        <x:v>ШС1</x:v>
      </x:c>
      <x:c r="B69" s="8" t="str">
        <x:v>XT9:2</x:v>
      </x:c>
      <x:c r="C69" s="8" t="str">
        <x:v>13</x:v>
      </x:c>
      <x:c r="D69" s="8" t="str">
        <x:v>MTU-2.5</x:v>
      </x:c>
      <x:c r="E69" s="8" t="str">
        <x:v>KSR1:T22; KSR1:T12</x:v>
      </x:c>
      <x:c r="F69" s="8" t="str">
        <x:v>ШО1.XT9:2</x:v>
      </x:c>
      <x:c r="G69" s="8" t="str">
        <x:v>W8</x:v>
      </x:c>
    </x:row>
    <x:row r="70" ht="31" hidden="0" customHeight="1">
      <x:c r="A70" s="8" t="str">
        <x:v>ШС1</x:v>
      </x:c>
      <x:c r="B70" s="8" t="str">
        <x:v>XT9:3</x:v>
      </x:c>
      <x:c r="C70" s="8" t="str">
        <x:v>20</x:v>
      </x:c>
      <x:c r="D70" s="8" t="str">
        <x:v>MTU-2.5</x:v>
      </x:c>
      <x:c r="E70" s="8" t="str">
        <x:v>A1:X0</x:v>
      </x:c>
      <x:c r="F70" s="8" t="str">
        <x:v>ШО1.XT9:3</x:v>
      </x:c>
      <x:c r="G70" s="8" t="str">
        <x:v>W8</x:v>
      </x:c>
    </x:row>
    <x:row r="71" ht="31" hidden="0" customHeight="1">
      <x:c r="A71" s="8" t="str">
        <x:v>ШС1</x:v>
      </x:c>
      <x:c r="B71" s="8" t="str">
        <x:v>XT9:4</x:v>
      </x:c>
      <x:c r="C71" s="8" t="str">
        <x:v>21</x:v>
      </x:c>
      <x:c r="D71" s="8" t="str">
        <x:v>MTU-2.5</x:v>
      </x:c>
      <x:c r="E71" s="8" t="str">
        <x:v>A1:X1</x:v>
      </x:c>
      <x:c r="F71" s="8" t="str">
        <x:v>ШО1.XT9:4</x:v>
      </x:c>
      <x:c r="G71" s="8" t="str">
        <x:v>W8</x:v>
      </x:c>
    </x:row>
    <x:row r="72" ht="31" hidden="0" customHeight="1">
      <x:c r="A72" s="8" t="str">
        <x:v>ШС1</x:v>
      </x:c>
      <x:c r="B72" s="8" t="str">
        <x:v>XT9:5</x:v>
      </x:c>
      <x:c r="C72" s="8" t="str">
        <x:v>22</x:v>
      </x:c>
      <x:c r="D72" s="8" t="str">
        <x:v>MTU-2.5</x:v>
      </x:c>
      <x:c r="E72" s="8" t="str">
        <x:v>K15:A1; A1:X2</x:v>
      </x:c>
      <x:c r="F72" s="8" t="str">
        <x:v>ШО1.XT9:5</x:v>
      </x:c>
      <x:c r="G72" s="8" t="str">
        <x:v>W8</x:v>
      </x:c>
    </x:row>
    <x:row r="73" ht="31" hidden="0" customHeight="1">
      <x:c r="A73" s="8" t="str">
        <x:v>ШС1</x:v>
      </x:c>
      <x:c r="B73" s="8" t="str">
        <x:v>XT9:6</x:v>
      </x:c>
      <x:c r="C73" s="8" t="str">
        <x:v>23</x:v>
      </x:c>
      <x:c r="D73" s="8" t="str">
        <x:v>MTU-2.5</x:v>
      </x:c>
      <x:c r="E73" s="8" t="str">
        <x:v>A1:X3</x:v>
      </x:c>
      <x:c r="F73" s="8" t="str">
        <x:v>ШО1.XT9:6</x:v>
      </x:c>
      <x:c r="G73" s="8" t="str">
        <x:v>W8</x:v>
      </x:c>
    </x:row>
    <x:row r="74" ht="31" hidden="0" customHeight="1">
      <x:c r="A74" s="8" t="str">
        <x:v>ШС1</x:v>
      </x:c>
      <x:c r="B74" s="8" t="str">
        <x:v>XT9:7</x:v>
      </x:c>
      <x:c r="C74" s="8" t="str">
        <x:v>24</x:v>
      </x:c>
      <x:c r="D74" s="8" t="str">
        <x:v>MTU-2.5</x:v>
      </x:c>
      <x:c r="E74" s="8" t="str">
        <x:v>A1:X4</x:v>
      </x:c>
      <x:c r="F74" s="8" t="str">
        <x:v>ШО1.XT9:7</x:v>
      </x:c>
      <x:c r="G74" s="8" t="str">
        <x:v>W8</x:v>
      </x:c>
    </x:row>
    <x:row r="75" ht="31" hidden="0" customHeight="1">
      <x:c r="A75" s="8" t="str">
        <x:v>ШС1</x:v>
      </x:c>
      <x:c r="B75" s="8" t="str">
        <x:v>XT9:8</x:v>
      </x:c>
      <x:c r="C75" s="8" t="str">
        <x:v>107</x:v>
      </x:c>
      <x:c r="D75" s="8" t="str">
        <x:v>MTU-2.5</x:v>
      </x:c>
      <x:c r="E75" s="8" t="str">
        <x:v>K9:14</x:v>
      </x:c>
      <x:c r="F75" s="8" t="str">
        <x:v>ШО1.XT9:8</x:v>
      </x:c>
      <x:c r="G75" s="8" t="str">
        <x:v>W8</x:v>
      </x:c>
    </x:row>
    <x:row r="76" ht="31" hidden="0" customHeight="1">
      <x:c r="A76" s="8" t="str">
        <x:v>ШС1</x:v>
      </x:c>
      <x:c r="B76" s="8" t="str">
        <x:v>XT9:9</x:v>
      </x:c>
      <x:c r="C76" s="8" t="str">
        <x:v>NC</x:v>
      </x:c>
      <x:c r="D76" s="8" t="str">
        <x:v>MTU-2.5</x:v>
      </x:c>
      <x:c r="E76" s="8" t="str">
        <x:v>Свободна</x:v>
      </x:c>
      <x:c r="F76" s="8" t="str">
        <x:v>Не подключать</x:v>
      </x:c>
      <x:c r="G76" s="8" t="str">
        <x:v>W8:11 — изолировать</x:v>
      </x:c>
    </x:row>
    <x:row r="77" ht="31" hidden="0" customHeight="1">
      <x:c r="A77" s="8" t="str">
        <x:v>ШС1</x:v>
      </x:c>
      <x:c r="B77" s="8" t="str">
        <x:v>XT10:1</x:v>
      </x:c>
      <x:c r="C77" s="8" t="str">
        <x:v>A6</x:v>
      </x:c>
      <x:c r="D77" s="8" t="str">
        <x:v>MTU-6</x:v>
      </x:c>
      <x:c r="E77" s="8" t="str">
        <x:v>UZ1:U/T1</x:v>
      </x:c>
      <x:c r="F77" s="8" t="str">
        <x:v>M1:U</x:v>
      </x:c>
      <x:c r="G77" s="8" t="str">
        <x:v>W2</x:v>
      </x:c>
    </x:row>
    <x:row r="78" ht="31" hidden="0" customHeight="1">
      <x:c r="A78" s="8" t="str">
        <x:v>ШС1</x:v>
      </x:c>
      <x:c r="B78" s="8" t="str">
        <x:v>XT10:2</x:v>
      </x:c>
      <x:c r="C78" s="8" t="str">
        <x:v>B6</x:v>
      </x:c>
      <x:c r="D78" s="8" t="str">
        <x:v>MTU-6</x:v>
      </x:c>
      <x:c r="E78" s="8" t="str">
        <x:v>UZ1:V/T2</x:v>
      </x:c>
      <x:c r="F78" s="8" t="str">
        <x:v>M1:V</x:v>
      </x:c>
      <x:c r="G78" s="8" t="str">
        <x:v>W2</x:v>
      </x:c>
    </x:row>
    <x:row r="79" ht="31" hidden="0" customHeight="1">
      <x:c r="A79" s="8" t="str">
        <x:v>ШС1</x:v>
      </x:c>
      <x:c r="B79" s="8" t="str">
        <x:v>XT10:3</x:v>
      </x:c>
      <x:c r="C79" s="8" t="str">
        <x:v>C6</x:v>
      </x:c>
      <x:c r="D79" s="8" t="str">
        <x:v>MTU-6</x:v>
      </x:c>
      <x:c r="E79" s="8" t="str">
        <x:v>UZ1:W/T3</x:v>
      </x:c>
      <x:c r="F79" s="8" t="str">
        <x:v>M1:W</x:v>
      </x:c>
      <x:c r="G79" s="8" t="str">
        <x:v>W2</x:v>
      </x:c>
    </x:row>
    <x:row r="80" ht="31" hidden="0" customHeight="1">
      <x:c r="A80" s="8" t="str">
        <x:v>ШС1</x:v>
      </x:c>
      <x:c r="B80" s="8" t="str">
        <x:v>XT10:PE</x:v>
      </x:c>
      <x:c r="C80" s="8" t="str">
        <x:v>PE</x:v>
      </x:c>
      <x:c r="D80" s="8" t="str">
        <x:v>MTU-6PE</x:v>
      </x:c>
      <x:c r="E80" s="8" t="str">
        <x:v>PE2:03</x:v>
      </x:c>
      <x:c r="F80" s="8" t="str">
        <x:v>M1:PE</x:v>
      </x:c>
      <x:c r="G80" s="8" t="str">
        <x:v>W2</x:v>
      </x:c>
    </x:row>
    <x:row r="81" ht="31" hidden="0" customHeight="1">
      <x:c r="A81" s="8" t="str">
        <x:v>ШС1</x:v>
      </x:c>
      <x:c r="B81" s="8" t="str">
        <x:v>XT11:1</x:v>
      </x:c>
      <x:c r="C81" s="8" t="str">
        <x:v>3</x:v>
      </x:c>
      <x:c r="D81" s="8" t="str">
        <x:v>MTU-2.5</x:v>
      </x:c>
      <x:c r="E81" s="8" t="str">
        <x:v>XD3:07b</x:v>
      </x:c>
      <x:c r="F81" s="8" t="str">
        <x:v>HL3:BK1</x:v>
      </x:c>
      <x:c r="G81" s="8" t="str">
        <x:v>W10</x:v>
      </x:c>
    </x:row>
    <x:row r="82" ht="31" hidden="0" customHeight="1">
      <x:c r="A82" s="8" t="str">
        <x:v>ШС1</x:v>
      </x:c>
      <x:c r="B82" s="8" t="str">
        <x:v>XT11:2</x:v>
      </x:c>
      <x:c r="C82" s="8" t="str">
        <x:v>2</x:v>
      </x:c>
      <x:c r="D82" s="8" t="str">
        <x:v>MTU-2.5BL</x:v>
      </x:c>
      <x:c r="E82" s="8" t="str">
        <x:v>XD2:11b</x:v>
      </x:c>
      <x:c r="F82" s="8" t="str">
        <x:v>HL3:BK2</x:v>
      </x:c>
      <x:c r="G82" s="8" t="str">
        <x:v>W10</x:v>
      </x:c>
    </x:row>
    <x:row r="83" ht="31" hidden="0" customHeight="1">
      <x:c r="A83" s="8" t="str">
        <x:v>ШС1</x:v>
      </x:c>
      <x:c r="B83" s="8" t="str">
        <x:v>XT11:3</x:v>
      </x:c>
      <x:c r="C83" s="8" t="str">
        <x:v>150</x:v>
      </x:c>
      <x:c r="D83" s="8" t="str">
        <x:v>MTU-2.5</x:v>
      </x:c>
      <x:c r="E83" s="8" t="str">
        <x:v>K9:21</x:v>
      </x:c>
      <x:c r="F83" s="8" t="str">
        <x:v>HL3:BN</x:v>
      </x:c>
      <x:c r="G83" s="8" t="str">
        <x:v>W10</x:v>
      </x:c>
    </x:row>
    <x:row r="84" ht="31" hidden="0" customHeight="1">
      <x:c r="A84" s="8" t="str">
        <x:v>ШС1</x:v>
      </x:c>
      <x:c r="B84" s="8" t="str">
        <x:v>XT11:4</x:v>
      </x:c>
      <x:c r="C84" s="8" t="str">
        <x:v>151</x:v>
      </x:c>
      <x:c r="D84" s="8" t="str">
        <x:v>MTU-2.5</x:v>
      </x:c>
      <x:c r="E84" s="8" t="str">
        <x:v>K9:24</x:v>
      </x:c>
      <x:c r="F84" s="8" t="str">
        <x:v>HL3:RD</x:v>
      </x:c>
      <x:c r="G84" s="8" t="str">
        <x:v>W10</x:v>
      </x:c>
    </x:row>
    <x:row r="85" ht="31" hidden="0" customHeight="1">
      <x:c r="A85" s="8" t="str">
        <x:v>ШС1</x:v>
      </x:c>
      <x:c r="B85" s="8" t="str">
        <x:v>XT11:5</x:v>
      </x:c>
      <x:c r="C85" s="8" t="str">
        <x:v>152</x:v>
      </x:c>
      <x:c r="D85" s="8" t="str">
        <x:v>MTU-2.5</x:v>
      </x:c>
      <x:c r="E85" s="8" t="str">
        <x:v>K13:14</x:v>
      </x:c>
      <x:c r="F85" s="8" t="str">
        <x:v>HL3:YE</x:v>
      </x:c>
      <x:c r="G85" s="8" t="str">
        <x:v>W10</x:v>
      </x:c>
    </x:row>
    <x:row r="86" ht="31" hidden="0" customHeight="1">
      <x:c r="A86" s="8" t="str">
        <x:v>ШС1</x:v>
      </x:c>
      <x:c r="B86" s="8" t="str">
        <x:v>XT11:6</x:v>
      </x:c>
      <x:c r="C86" s="8" t="str">
        <x:v>153</x:v>
      </x:c>
      <x:c r="D86" s="8" t="str">
        <x:v>MTU-2.5</x:v>
      </x:c>
      <x:c r="E86" s="8" t="str">
        <x:v>K8:24</x:v>
      </x:c>
      <x:c r="F86" s="8" t="str">
        <x:v>HL3:GN</x:v>
      </x:c>
      <x:c r="G86" s="8" t="str">
        <x:v>W10</x:v>
      </x:c>
    </x:row>
    <x:row r="87" ht="31" hidden="0" customHeight="1">
      <x:c r="A87" s="8" t="str">
        <x:v>ШС1</x:v>
      </x:c>
      <x:c r="B87" s="8" t="str">
        <x:v>XT11:7</x:v>
      </x:c>
      <x:c r="C87" s="8" t="str">
        <x:v>154</x:v>
      </x:c>
      <x:c r="D87" s="8" t="str">
        <x:v>MTU-2.5</x:v>
      </x:c>
      <x:c r="E87" s="8" t="str">
        <x:v>K14:14</x:v>
      </x:c>
      <x:c r="F87" s="8" t="str">
        <x:v>HL3:GY</x:v>
      </x:c>
      <x:c r="G87" s="8" t="str">
        <x:v>W10</x:v>
      </x:c>
    </x:row>
    <x:row r="88" ht="31" hidden="0" customHeight="1">
      <x:c r="A88" s="8" t="str">
        <x:v>ШО1</x:v>
      </x:c>
      <x:c r="B88" s="8" t="str">
        <x:v>ШО1.XT8:1</x:v>
      </x:c>
      <x:c r="C88" s="8" t="str">
        <x:v>8</x:v>
      </x:c>
      <x:c r="D88" s="8" t="str">
        <x:v>MTU-2.5</x:v>
      </x:c>
      <x:c r="E88" s="8" t="str">
        <x:v>A7:3 (+)</x:v>
      </x:c>
      <x:c r="F88" s="8" t="str">
        <x:v>XT8:1</x:v>
      </x:c>
      <x:c r="G88" s="8" t="str">
        <x:v>W8</x:v>
      </x:c>
    </x:row>
    <x:row r="89" ht="31" hidden="0" customHeight="1">
      <x:c r="A89" s="8" t="str">
        <x:v>ШО1</x:v>
      </x:c>
      <x:c r="B89" s="8" t="str">
        <x:v>ШО1.XT8:2</x:v>
      </x:c>
      <x:c r="C89" s="8" t="str">
        <x:v>2</x:v>
      </x:c>
      <x:c r="D89" s="8" t="str">
        <x:v>MTU-2.5BL</x:v>
      </x:c>
      <x:c r="E89" s="8" t="str">
        <x:v>A7:2 (−)</x:v>
      </x:c>
      <x:c r="F89" s="8" t="str">
        <x:v>XT8:2</x:v>
      </x:c>
      <x:c r="G89" s="8" t="str">
        <x:v>W8</x:v>
      </x:c>
    </x:row>
    <x:row r="90" ht="31" hidden="0" customHeight="1">
      <x:c r="A90" s="8" t="str">
        <x:v>ШО1</x:v>
      </x:c>
      <x:c r="B90" s="8" t="str">
        <x:v>ШО1.XT8:PE</x:v>
      </x:c>
      <x:c r="C90" s="8" t="str">
        <x:v>PE</x:v>
      </x:c>
      <x:c r="D90" s="8" t="str">
        <x:v>MTU-6PE</x:v>
      </x:c>
      <x:c r="E90" s="8" t="str">
        <x:v>ШО1.PE:01</x:v>
      </x:c>
      <x:c r="F90" s="8" t="str">
        <x:v>XT8:PE</x:v>
      </x:c>
      <x:c r="G90" s="8" t="str">
        <x:v>W8</x:v>
      </x:c>
    </x:row>
    <x:row r="91" ht="31" hidden="0" customHeight="1">
      <x:c r="A91" s="8" t="str">
        <x:v>ШО1</x:v>
      </x:c>
      <x:c r="B91" s="8" t="str">
        <x:v>ШО1.XT9:1</x:v>
      </x:c>
      <x:c r="C91" s="8" t="str">
        <x:v>6</x:v>
      </x:c>
      <x:c r="D91" s="8" t="str">
        <x:v>MTU-2.5</x:v>
      </x:c>
      <x:c r="E91" s="8" t="str">
        <x:v>SB0.1:1</x:v>
      </x:c>
      <x:c r="F91" s="8" t="str">
        <x:v>XT9:1</x:v>
      </x:c>
      <x:c r="G91" s="8" t="str">
        <x:v>W8</x:v>
      </x:c>
    </x:row>
    <x:row r="92" ht="31" hidden="0" customHeight="1">
      <x:c r="A92" s="8" t="str">
        <x:v>ШО1</x:v>
      </x:c>
      <x:c r="B92" s="8" t="str">
        <x:v>ШО1.XT9:2</x:v>
      </x:c>
      <x:c r="C92" s="8" t="str">
        <x:v>13</x:v>
      </x:c>
      <x:c r="D92" s="8" t="str">
        <x:v>MTU-2.5</x:v>
      </x:c>
      <x:c r="E92" s="8" t="str">
        <x:v>SB0.1:2</x:v>
      </x:c>
      <x:c r="F92" s="8" t="str">
        <x:v>XT9:2</x:v>
      </x:c>
      <x:c r="G92" s="8" t="str">
        <x:v>W8</x:v>
      </x:c>
    </x:row>
    <x:row r="93" ht="31" hidden="0" customHeight="1">
      <x:c r="A93" s="8" t="str">
        <x:v>ШО1</x:v>
      </x:c>
      <x:c r="B93" s="8" t="str">
        <x:v>ШО1.XT9:3</x:v>
      </x:c>
      <x:c r="C93" s="8" t="str">
        <x:v>20</x:v>
      </x:c>
      <x:c r="D93" s="8" t="str">
        <x:v>MTU-2.5</x:v>
      </x:c>
      <x:c r="E93" s="8" t="str">
        <x:v>SB1:4</x:v>
      </x:c>
      <x:c r="F93" s="8" t="str">
        <x:v>XT9:3</x:v>
      </x:c>
      <x:c r="G93" s="8" t="str">
        <x:v>W8</x:v>
      </x:c>
    </x:row>
    <x:row r="94" ht="31" hidden="0" customHeight="1">
      <x:c r="A94" s="8" t="str">
        <x:v>ШО1</x:v>
      </x:c>
      <x:c r="B94" s="8" t="str">
        <x:v>ШО1.XT9:4</x:v>
      </x:c>
      <x:c r="C94" s="8" t="str">
        <x:v>21</x:v>
      </x:c>
      <x:c r="D94" s="8" t="str">
        <x:v>MTU-2.5</x:v>
      </x:c>
      <x:c r="E94" s="8" t="str">
        <x:v>SB2:2</x:v>
      </x:c>
      <x:c r="F94" s="8" t="str">
        <x:v>XT9:4</x:v>
      </x:c>
      <x:c r="G94" s="8" t="str">
        <x:v>W8</x:v>
      </x:c>
    </x:row>
    <x:row r="95" ht="31" hidden="0" customHeight="1">
      <x:c r="A95" s="8" t="str">
        <x:v>ШО1</x:v>
      </x:c>
      <x:c r="B95" s="8" t="str">
        <x:v>ШО1.XT9:5</x:v>
      </x:c>
      <x:c r="C95" s="8" t="str">
        <x:v>22</x:v>
      </x:c>
      <x:c r="D95" s="8" t="str">
        <x:v>MTU-2.5</x:v>
      </x:c>
      <x:c r="E95" s="8" t="str">
        <x:v>SB3:4</x:v>
      </x:c>
      <x:c r="F95" s="8" t="str">
        <x:v>XT9:5</x:v>
      </x:c>
      <x:c r="G95" s="8" t="str">
        <x:v>W8</x:v>
      </x:c>
    </x:row>
    <x:row r="96" ht="31" hidden="0" customHeight="1">
      <x:c r="A96" s="8" t="str">
        <x:v>ШО1</x:v>
      </x:c>
      <x:c r="B96" s="8" t="str">
        <x:v>ШО1.XT9:6</x:v>
      </x:c>
      <x:c r="C96" s="8" t="str">
        <x:v>23</x:v>
      </x:c>
      <x:c r="D96" s="8" t="str">
        <x:v>MTU-2.5</x:v>
      </x:c>
      <x:c r="E96" s="8" t="str">
        <x:v>SB4:4</x:v>
      </x:c>
      <x:c r="F96" s="8" t="str">
        <x:v>XT9:6</x:v>
      </x:c>
      <x:c r="G96" s="8" t="str">
        <x:v>W8</x:v>
      </x:c>
    </x:row>
    <x:row r="97" ht="31" hidden="0" customHeight="1">
      <x:c r="A97" s="8" t="str">
        <x:v>ШО1</x:v>
      </x:c>
      <x:c r="B97" s="8" t="str">
        <x:v>ШО1.XT9:7</x:v>
      </x:c>
      <x:c r="C97" s="8" t="str">
        <x:v>24</x:v>
      </x:c>
      <x:c r="D97" s="8" t="str">
        <x:v>MTU-2.5</x:v>
      </x:c>
      <x:c r="E97" s="8" t="str">
        <x:v>SB5:4</x:v>
      </x:c>
      <x:c r="F97" s="8" t="str">
        <x:v>XT9:7</x:v>
      </x:c>
      <x:c r="G97" s="8" t="str">
        <x:v>W8</x:v>
      </x:c>
    </x:row>
    <x:row r="98" ht="31" hidden="0" customHeight="1">
      <x:c r="A98" s="8" t="str">
        <x:v>ШО1</x:v>
      </x:c>
      <x:c r="B98" s="8" t="str">
        <x:v>ШО1.XT9:8</x:v>
      </x:c>
      <x:c r="C98" s="8" t="str">
        <x:v>107</x:v>
      </x:c>
      <x:c r="D98" s="8" t="str">
        <x:v>MTU-2.5</x:v>
      </x:c>
      <x:c r="E98" s="8" t="str">
        <x:v>HL2:+</x:v>
      </x:c>
      <x:c r="F98" s="8" t="str">
        <x:v>XT9:8</x:v>
      </x:c>
      <x:c r="G98" s="8" t="str">
        <x:v>W8</x:v>
      </x:c>
    </x:row>
    <x:row r="99" ht="31" hidden="0" customHeight="1">
      <x:c r="A99" s="8" t="str">
        <x:v>ШО1</x:v>
      </x:c>
      <x:c r="B99" s="8" t="str">
        <x:v>ШО1.XT9:9</x:v>
      </x:c>
      <x:c r="C99" s="8" t="str">
        <x:v>NC</x:v>
      </x:c>
      <x:c r="D99" s="8" t="str">
        <x:v>MTU-2.5</x:v>
      </x:c>
      <x:c r="E99" s="8" t="str">
        <x:v>Свободна</x:v>
      </x:c>
      <x:c r="F99" s="8" t="str">
        <x:v>Не подключать</x:v>
      </x:c>
      <x:c r="G99" s="8" t="str">
        <x:v>W8:11 — изолировать</x:v>
      </x:c>
    </x:row>
    <x:row r="100" ht="31" hidden="0" customHeight="1">
      <x:c r="A100" s="8" t="str">
        <x:v>ШС1</x:v>
      </x:c>
      <x:c r="B100" s="8" t="str">
        <x:v>XD2:01</x:v>
      </x:c>
      <x:c r="C100" s="8" t="str">
        <x:v>2</x:v>
      </x:c>
      <x:c r="D100" s="8" t="str">
        <x:v>MTU-2.5BL</x:v>
      </x:c>
      <x:c r="E100" s="8" t="str">
        <x:v>G2:-V</x:v>
      </x:c>
      <x:c r="F100" s="8" t="str">
        <x:v>A1:C0 [Л06]</x:v>
      </x:c>
      <x:c r="G100" s="8" t="str">
        <x:v>a / b — стороны клеммы</x:v>
      </x:c>
    </x:row>
    <x:row r="101" ht="31" hidden="0" customHeight="1">
      <x:c r="A101" s="8" t="str">
        <x:v>ШС1</x:v>
      </x:c>
      <x:c r="B101" s="8" t="str">
        <x:v>XD2:02</x:v>
      </x:c>
      <x:c r="C101" s="8" t="str">
        <x:v>2</x:v>
      </x:c>
      <x:c r="D101" s="8" t="str">
        <x:v>MTU-2.5BL</x:v>
      </x:c>
      <x:c r="E101" s="8" t="str">
        <x:v>Перемычка 01–10</x:v>
      </x:c>
      <x:c r="F101" s="8" t="str">
        <x:v>A2:S/S [Л01]</x:v>
      </x:c>
      <x:c r="G101" s="8" t="str">
        <x:v>a / b — стороны клеммы</x:v>
      </x:c>
    </x:row>
    <x:row r="102" ht="31" hidden="0" customHeight="1">
      <x:c r="A102" s="8" t="str">
        <x:v>ШС1</x:v>
      </x:c>
      <x:c r="B102" s="8" t="str">
        <x:v>XD2:03</x:v>
      </x:c>
      <x:c r="C102" s="8" t="str">
        <x:v>2</x:v>
      </x:c>
      <x:c r="D102" s="8" t="str">
        <x:v>MTU-2.5BL</x:v>
      </x:c>
      <x:c r="E102" s="8" t="str">
        <x:v>Перемычка 01–10</x:v>
      </x:c>
      <x:c r="F102" s="8" t="str">
        <x:v>A3:0V</x:v>
      </x:c>
      <x:c r="G102" s="8" t="str">
        <x:v>a / b — стороны клеммы</x:v>
      </x:c>
    </x:row>
    <x:row r="103" ht="31" hidden="0" customHeight="1">
      <x:c r="A103" s="8" t="str">
        <x:v>ШС1</x:v>
      </x:c>
      <x:c r="B103" s="8" t="str">
        <x:v>XD2:04</x:v>
      </x:c>
      <x:c r="C103" s="8" t="str">
        <x:v>2</x:v>
      </x:c>
      <x:c r="D103" s="8" t="str">
        <x:v>MTU-2.5BL</x:v>
      </x:c>
      <x:c r="E103" s="8" t="str">
        <x:v>Перемычка 01–10</x:v>
      </x:c>
      <x:c r="F103" s="8" t="str">
        <x:v>A4:C0 [П01]</x:v>
      </x:c>
      <x:c r="G103" s="8" t="str">
        <x:v>a / b — стороны клеммы</x:v>
      </x:c>
    </x:row>
    <x:row r="104" ht="31" hidden="0" customHeight="1">
      <x:c r="A104" s="8" t="str">
        <x:v>ШС1</x:v>
      </x:c>
      <x:c r="B104" s="8" t="str">
        <x:v>XD2:05</x:v>
      </x:c>
      <x:c r="C104" s="8" t="str">
        <x:v>2</x:v>
      </x:c>
      <x:c r="D104" s="8" t="str">
        <x:v>MTU-2.5BL</x:v>
      </x:c>
      <x:c r="E104" s="8" t="str">
        <x:v>Перемычка 01–10</x:v>
      </x:c>
      <x:c r="F104" s="8" t="str">
        <x:v>A8:P1-</x:v>
      </x:c>
      <x:c r="G104" s="8" t="str">
        <x:v>a / b — стороны клеммы</x:v>
      </x:c>
    </x:row>
    <x:row r="105" ht="31" hidden="0" customHeight="1">
      <x:c r="A105" s="8" t="str">
        <x:v>ШС1</x:v>
      </x:c>
      <x:c r="B105" s="8" t="str">
        <x:v>XD2:06</x:v>
      </x:c>
      <x:c r="C105" s="8" t="str">
        <x:v>2</x:v>
      </x:c>
      <x:c r="D105" s="8" t="str">
        <x:v>MTU-2.5BL</x:v>
      </x:c>
      <x:c r="E105" s="8" t="str">
        <x:v>Перемычка 01–10</x:v>
      </x:c>
      <x:c r="F105" s="8" t="str">
        <x:v>KSR1:A2</x:v>
      </x:c>
      <x:c r="G105" s="8" t="str">
        <x:v>a / b — стороны клеммы</x:v>
      </x:c>
    </x:row>
    <x:row r="106" ht="31" hidden="0" customHeight="1">
      <x:c r="A106" s="8" t="str">
        <x:v>ШС1</x:v>
      </x:c>
      <x:c r="B106" s="8" t="str">
        <x:v>XD2:07</x:v>
      </x:c>
      <x:c r="C106" s="8" t="str">
        <x:v>2</x:v>
      </x:c>
      <x:c r="D106" s="8" t="str">
        <x:v>MTU-2.5BL</x:v>
      </x:c>
      <x:c r="E106" s="8" t="str">
        <x:v>Перемычка 01–10</x:v>
      </x:c>
      <x:c r="F106" s="8" t="str">
        <x:v>UZ1:DCM</x:v>
      </x:c>
      <x:c r="G106" s="8" t="str">
        <x:v>a / b — стороны клеммы</x:v>
      </x:c>
    </x:row>
    <x:row r="107" ht="31" hidden="0" customHeight="1">
      <x:c r="A107" s="8" t="str">
        <x:v>ШС1</x:v>
      </x:c>
      <x:c r="B107" s="8" t="str">
        <x:v>XD2:08</x:v>
      </x:c>
      <x:c r="C107" s="8" t="str">
        <x:v>2</x:v>
      </x:c>
      <x:c r="D107" s="8" t="str">
        <x:v>MTU-2.5BL</x:v>
      </x:c>
      <x:c r="E107" s="8" t="str">
        <x:v>Перемычка 01–10</x:v>
      </x:c>
      <x:c r="F107" s="8" t="str">
        <x:v>XT2:2</x:v>
      </x:c>
      <x:c r="G107" s="8" t="str">
        <x:v>a / b — стороны клеммы</x:v>
      </x:c>
    </x:row>
    <x:row r="108" ht="31" hidden="0" customHeight="1">
      <x:c r="A108" s="8" t="str">
        <x:v>ШС1</x:v>
      </x:c>
      <x:c r="B108" s="8" t="str">
        <x:v>XD2:09</x:v>
      </x:c>
      <x:c r="C108" s="8" t="str">
        <x:v>2</x:v>
      </x:c>
      <x:c r="D108" s="8" t="str">
        <x:v>MTU-2.5BL</x:v>
      </x:c>
      <x:c r="E108" s="8" t="str">
        <x:v>Перемычка 01–10</x:v>
      </x:c>
      <x:c r="F108" s="8" t="str">
        <x:v>XT3:2</x:v>
      </x:c>
      <x:c r="G108" s="8" t="str">
        <x:v>a / b — стороны клеммы</x:v>
      </x:c>
    </x:row>
    <x:row r="109" ht="31" hidden="0" customHeight="1">
      <x:c r="A109" s="8" t="str">
        <x:v>ШС1</x:v>
      </x:c>
      <x:c r="B109" s="8" t="str">
        <x:v>XD2:10</x:v>
      </x:c>
      <x:c r="C109" s="8" t="str">
        <x:v>2</x:v>
      </x:c>
      <x:c r="D109" s="8" t="str">
        <x:v>MTU-2.5BL</x:v>
      </x:c>
      <x:c r="E109" s="8" t="str">
        <x:v>XD2:11a</x:v>
      </x:c>
      <x:c r="F109" s="8" t="str">
        <x:v>XT8:2</x:v>
      </x:c>
      <x:c r="G109" s="8" t="str">
        <x:v>a / b — стороны клеммы</x:v>
      </x:c>
    </x:row>
    <x:row r="110" ht="31" hidden="0" customHeight="1">
      <x:c r="A110" s="8" t="str">
        <x:v>ШС1</x:v>
      </x:c>
      <x:c r="B110" s="8" t="str">
        <x:v>XD2:11</x:v>
      </x:c>
      <x:c r="C110" s="8" t="str">
        <x:v>2</x:v>
      </x:c>
      <x:c r="D110" s="8" t="str">
        <x:v>MTU-2.5BL</x:v>
      </x:c>
      <x:c r="E110" s="8" t="str">
        <x:v>XD2:10a</x:v>
      </x:c>
      <x:c r="F110" s="8" t="str">
        <x:v>XT11:2</x:v>
      </x:c>
      <x:c r="G110" s="8" t="str">
        <x:v>a / b — стороны клеммы</x:v>
      </x:c>
    </x:row>
    <x:row r="111" ht="31" hidden="0" customHeight="1">
      <x:c r="A111" s="8" t="str">
        <x:v>ШС1</x:v>
      </x:c>
      <x:c r="B111" s="8" t="str">
        <x:v>XD3:01</x:v>
      </x:c>
      <x:c r="C111" s="8" t="str">
        <x:v>3</x:v>
      </x:c>
      <x:c r="D111" s="8" t="str">
        <x:v>MTU-2.5</x:v>
      </x:c>
      <x:c r="E111" s="8" t="str">
        <x:v>FU1:2</x:v>
      </x:c>
      <x:c r="F111" s="8" t="str">
        <x:v>K1:A1</x:v>
      </x:c>
      <x:c r="G111" s="8" t="str">
        <x:v>a / b — стороны клеммы</x:v>
      </x:c>
    </x:row>
    <x:row r="112" ht="31" hidden="0" customHeight="1">
      <x:c r="A112" s="8" t="str">
        <x:v>ШС1</x:v>
      </x:c>
      <x:c r="B112" s="8" t="str">
        <x:v>XD3:02</x:v>
      </x:c>
      <x:c r="C112" s="8" t="str">
        <x:v>3</x:v>
      </x:c>
      <x:c r="D112" s="8" t="str">
        <x:v>MTU-2.5</x:v>
      </x:c>
      <x:c r="E112" s="8" t="str">
        <x:v>Перемычка 01–08</x:v>
      </x:c>
      <x:c r="F112" s="8" t="str">
        <x:v>KV1:A1</x:v>
      </x:c>
      <x:c r="G112" s="8" t="str">
        <x:v>a / b — стороны клеммы</x:v>
      </x:c>
    </x:row>
    <x:row r="113" ht="31" hidden="0" customHeight="1">
      <x:c r="A113" s="8" t="str">
        <x:v>ШС1</x:v>
      </x:c>
      <x:c r="B113" s="8" t="str">
        <x:v>XD3:03</x:v>
      </x:c>
      <x:c r="C113" s="8" t="str">
        <x:v>3</x:v>
      </x:c>
      <x:c r="D113" s="8" t="str">
        <x:v>MTU-2.5</x:v>
      </x:c>
      <x:c r="E113" s="8" t="str">
        <x:v>Перемычка 01–08</x:v>
      </x:c>
      <x:c r="F113" s="8" t="str">
        <x:v>UZ1:RC</x:v>
      </x:c>
      <x:c r="G113" s="8" t="str">
        <x:v>a / b — стороны клеммы</x:v>
      </x:c>
    </x:row>
    <x:row r="114" ht="31" hidden="0" customHeight="1">
      <x:c r="A114" s="8" t="str">
        <x:v>ШС1</x:v>
      </x:c>
      <x:c r="B114" s="8" t="str">
        <x:v>XD3:04</x:v>
      </x:c>
      <x:c r="C114" s="8" t="str">
        <x:v>3</x:v>
      </x:c>
      <x:c r="D114" s="8" t="str">
        <x:v>MTU-2.5</x:v>
      </x:c>
      <x:c r="E114" s="8" t="str">
        <x:v>Перемычка 01–08</x:v>
      </x:c>
      <x:c r="F114" s="8" t="str">
        <x:v>K9:11</x:v>
      </x:c>
      <x:c r="G114" s="8" t="str">
        <x:v>a / b — стороны клеммы</x:v>
      </x:c>
    </x:row>
    <x:row r="115" ht="31" hidden="0" customHeight="1">
      <x:c r="A115" s="8" t="str">
        <x:v>ШС1</x:v>
      </x:c>
      <x:c r="B115" s="8" t="str">
        <x:v>XD3:05</x:v>
      </x:c>
      <x:c r="C115" s="8" t="str">
        <x:v>3</x:v>
      </x:c>
      <x:c r="D115" s="8" t="str">
        <x:v>MTU-2.5</x:v>
      </x:c>
      <x:c r="E115" s="8" t="str">
        <x:v>Перемычка 01–08</x:v>
      </x:c>
      <x:c r="F115" s="8" t="str">
        <x:v>SQ1:13</x:v>
      </x:c>
      <x:c r="G115" s="8" t="str">
        <x:v>a / b — стороны клеммы</x:v>
      </x:c>
    </x:row>
    <x:row r="116" ht="31" hidden="0" customHeight="1">
      <x:c r="A116" s="8" t="str">
        <x:v>ШС1</x:v>
      </x:c>
      <x:c r="B116" s="8" t="str">
        <x:v>XD3:06</x:v>
      </x:c>
      <x:c r="C116" s="8" t="str">
        <x:v>3</x:v>
      </x:c>
      <x:c r="D116" s="8" t="str">
        <x:v>MTU-2.5</x:v>
      </x:c>
      <x:c r="E116" s="8" t="str">
        <x:v>Перемычка 01–08</x:v>
      </x:c>
      <x:c r="F116" s="8" t="str">
        <x:v>KM1:13</x:v>
      </x:c>
      <x:c r="G116" s="8" t="str">
        <x:v>a / b — стороны клеммы</x:v>
      </x:c>
    </x:row>
    <x:row r="117" ht="31" hidden="0" customHeight="1">
      <x:c r="A117" s="8" t="str">
        <x:v>ШС1</x:v>
      </x:c>
      <x:c r="B117" s="8" t="str">
        <x:v>XD3:07</x:v>
      </x:c>
      <x:c r="C117" s="8" t="str">
        <x:v>3</x:v>
      </x:c>
      <x:c r="D117" s="8" t="str">
        <x:v>MTU-2.5</x:v>
      </x:c>
      <x:c r="E117" s="8" t="str">
        <x:v>Перемычка 01–08</x:v>
      </x:c>
      <x:c r="F117" s="8" t="str">
        <x:v>XT11:1</x:v>
      </x:c>
      <x:c r="G117" s="8" t="str">
        <x:v>a / b — стороны клеммы</x:v>
      </x:c>
    </x:row>
    <x:row r="118" ht="31" hidden="0" customHeight="1">
      <x:c r="A118" s="8" t="str">
        <x:v>ШС1</x:v>
      </x:c>
      <x:c r="B118" s="8" t="str">
        <x:v>XD3:08</x:v>
      </x:c>
      <x:c r="C118" s="8" t="str">
        <x:v>3</x:v>
      </x:c>
      <x:c r="D118" s="8" t="str">
        <x:v>MTU-2.5</x:v>
      </x:c>
      <x:c r="E118" s="8" t="str">
        <x:v>Перемычка 01–08</x:v>
      </x:c>
      <x:c r="F118" s="8" t="str">
        <x:v>A8:P1+</x:v>
      </x:c>
      <x:c r="G118" s="8" t="str">
        <x:v>a / b — стороны клеммы</x:v>
      </x:c>
    </x:row>
    <x:row r="119" ht="31" hidden="0" customHeight="1">
      <x:c r="A119" s="8" t="str">
        <x:v>ШС1</x:v>
      </x:c>
      <x:c r="B119" s="8" t="str">
        <x:v>XPE1:1</x:v>
      </x:c>
      <x:c r="C119" s="8" t="str">
        <x:v>PE</x:v>
      </x:c>
      <x:c r="D119" s="8" t="str">
        <x:v>MTU-2.5PE</x:v>
      </x:c>
      <x:c r="E119" s="8" t="str">
        <x:v>PE1:03</x:v>
      </x:c>
      <x:c r="F119" s="8" t="str">
        <x:v>A3:EARTH</x:v>
      </x:c>
      <x:c r="G119" s="8" t="str">
        <x:v>a / b — стороны клеммы</x:v>
      </x:c>
    </x:row>
    <x:row r="120" ht="31" hidden="0" customHeight="1">
      <x:c r="A120" s="8" t="str">
        <x:v>ШС1</x:v>
      </x:c>
      <x:c r="B120" s="8" t="str">
        <x:v>XPE1:2</x:v>
      </x:c>
      <x:c r="C120" s="8" t="str">
        <x:v>PE</x:v>
      </x:c>
      <x:c r="D120" s="8" t="str">
        <x:v>MTU-2.5PE</x:v>
      </x:c>
      <x:c r="E120" s="8" t="str">
        <x:v>PE1:04</x:v>
      </x:c>
      <x:c r="F120" s="8" t="str">
        <x:v>A8:FG</x:v>
      </x:c>
      <x:c r="G120" s="8" t="str">
        <x:v>a / b — стороны клеммы</x:v>
      </x:c>
    </x:row>
    <x:row r="121" ht="31" hidden="0" customHeight="1">
      <x:c r="A121" s="8" t="str">
        <x:v>ШС1</x:v>
      </x:c>
      <x:c r="B121" s="8" t="str">
        <x:v>XPE1:3</x:v>
      </x:c>
      <x:c r="C121" s="8" t="str">
        <x:v>PE</x:v>
      </x:c>
      <x:c r="D121" s="8" t="str">
        <x:v>MTU-2.5PE</x:v>
      </x:c>
      <x:c r="E121" s="8" t="str">
        <x:v>PE1:07</x:v>
      </x:c>
      <x:c r="F121" s="8" t="str">
        <x:v>G1:LG</x:v>
      </x:c>
      <x:c r="G121" s="8" t="str">
        <x:v>a / b — стороны клеммы</x:v>
      </x:c>
    </x:row>
    <x:row r="122" ht="31" hidden="0" customHeight="1">
      <x:c r="A122" s="8" t="str">
        <x:v>ШС1</x:v>
      </x:c>
      <x:c r="B122" s="8" t="str">
        <x:v>XPE1:4</x:v>
      </x:c>
      <x:c r="C122" s="8" t="str">
        <x:v>PE</x:v>
      </x:c>
      <x:c r="D122" s="8" t="str">
        <x:v>MTU-2.5PE</x:v>
      </x:c>
      <x:c r="E122" s="8" t="str">
        <x:v>PE1:08</x:v>
      </x:c>
      <x:c r="F122" s="8" t="str">
        <x:v>G2:PE</x:v>
      </x:c>
      <x:c r="G122" s="8" t="str">
        <x:v>a / b — стороны клеммы</x:v>
      </x:c>
    </x:row>
    <x:row r="123" ht="31" hidden="0" customHeight="1">
      <x:c r="A123" s="8" t="str">
        <x:v>ШС1</x:v>
      </x:c>
      <x:c r="B123" s="8" t="str">
        <x:v>XPE1:5</x:v>
      </x:c>
      <x:c r="C123" s="8" t="str">
        <x:v>PE</x:v>
      </x:c>
      <x:c r="D123" s="8" t="str">
        <x:v>MTU-2.5PE</x:v>
      </x:c>
      <x:c r="E123" s="8" t="str">
        <x:v>PE1:09</x:v>
      </x:c>
      <x:c r="F123" s="8" t="str">
        <x:v>Свободна</x:v>
      </x:c>
      <x:c r="G123" s="8" t="str">
        <x:v>a / b — стороны клеммы</x:v>
      </x:c>
    </x:row>
    <x:row r="124" ht="31" hidden="0" customHeight="1">
      <x:c r="A124" s="8" t="str">
        <x:v>ШС1</x:v>
      </x:c>
      <x:c r="B124" s="8" t="str">
        <x:v>XPE1:6</x:v>
      </x:c>
      <x:c r="C124" s="8" t="str">
        <x:v>PE</x:v>
      </x:c>
      <x:c r="D124" s="8" t="str">
        <x:v>MTU-2.5PE</x:v>
      </x:c>
      <x:c r="E124" s="8" t="str">
        <x:v>PE1:10</x:v>
      </x:c>
      <x:c r="F124" s="8" t="str">
        <x:v>M2:PE</x:v>
      </x:c>
      <x:c r="G124" s="8" t="str">
        <x:v>a / b — стороны клеммы</x:v>
      </x:c>
    </x:row>
    <x:row r="125" ht="31" hidden="0" customHeight="1">
      <x:c r="A125" s="8" t="str">
        <x:v>ШС1</x:v>
      </x:c>
      <x:c r="B125" s="8" t="str">
        <x:v>XPE1:7</x:v>
      </x:c>
      <x:c r="C125" s="8" t="str">
        <x:v>PE</x:v>
      </x:c>
      <x:c r="D125" s="8" t="str">
        <x:v>MTU-2.5PE</x:v>
      </x:c>
      <x:c r="E125" s="8" t="str">
        <x:v>PE1:11</x:v>
      </x:c>
      <x:c r="F125" s="8" t="str">
        <x:v>SQ1:PE</x:v>
      </x:c>
      <x:c r="G125" s="8" t="str">
        <x:v>a / b — стороны клеммы</x:v>
      </x:c>
    </x:row>
    <x:row r="126" ht="31" hidden="0" customHeight="1">
      <x:c r="A126" s="8" t="str">
        <x:v>ШС1</x:v>
      </x:c>
      <x:c r="B126" s="8" t="str">
        <x:v>XPE1:8</x:v>
      </x:c>
      <x:c r="C126" s="8" t="str">
        <x:v>PE</x:v>
      </x:c>
      <x:c r="D126" s="8" t="str">
        <x:v>MTU-2.5PE</x:v>
      </x:c>
      <x:c r="E126" s="8" t="str">
        <x:v>PE1:14</x:v>
      </x:c>
      <x:c r="F126" s="8" t="str">
        <x:v>XS1:PE</x:v>
      </x:c>
      <x:c r="G126" s="8" t="str">
        <x:v>a / b — стороны клеммы</x:v>
      </x:c>
    </x:row>
    <x:row r="127" ht="31" hidden="0" customHeight="1">
      <x:c r="A127" s="8" t="str">
        <x:v>ШО1</x:v>
      </x:c>
      <x:c r="B127" s="8" t="str">
        <x:v>ШО1.XPE1:1</x:v>
      </x:c>
      <x:c r="C127" s="8" t="str">
        <x:v>PE</x:v>
      </x:c>
      <x:c r="D127" s="8" t="str">
        <x:v>MTU-2.5PE</x:v>
      </x:c>
      <x:c r="E127" s="8" t="str">
        <x:v>ШО1.PE:05</x:v>
      </x:c>
      <x:c r="F127" s="8" t="str">
        <x:v>A7:1 (FG)</x:v>
      </x:c>
      <x:c r="G127" s="8" t="str">
        <x:v>a / b — стороны клеммы</x:v>
      </x:c>
    </x:row>
    <x:row r="128" ht="31" hidden="0" customHeight="1">
      <x:c r="A128" s="8" t="str">
        <x:v>ШС1</x:v>
      </x:c>
      <x:c r="B128" s="8" t="str">
        <x:v>N1:01</x:v>
      </x:c>
      <x:c r="C128" s="8" t="str">
        <x:v>N</x:v>
      </x:c>
      <x:c r="D128" s="8" t="str">
        <x:v>5015N</x:v>
      </x:c>
      <x:c r="E128" s="8" t="str">
        <x:v>XT1:4</x:v>
      </x:c>
      <x:c r="F128" s="8" t="str">
        <x:v>—</x:v>
      </x:c>
      <x:c r="G128" s="8" t="str">
        <x:v>Общая шина</x:v>
      </x:c>
    </x:row>
    <x:row r="129" ht="31" hidden="0" customHeight="1">
      <x:c r="A129" s="8" t="str">
        <x:v>ШС1</x:v>
      </x:c>
      <x:c r="B129" s="8" t="str">
        <x:v>N1:02</x:v>
      </x:c>
      <x:c r="C129" s="8" t="str">
        <x:v>NC</x:v>
      </x:c>
      <x:c r="D129" s="8" t="str">
        <x:v>5015N</x:v>
      </x:c>
      <x:c r="E129" s="8" t="str">
        <x:v>Свободна</x:v>
      </x:c>
      <x:c r="F129" s="8" t="str">
        <x:v>—</x:v>
      </x:c>
      <x:c r="G129" s="8" t="str">
        <x:v>Общая шина</x:v>
      </x:c>
    </x:row>
    <x:row r="130" ht="31" hidden="0" customHeight="1">
      <x:c r="A130" s="8" t="str">
        <x:v>ШС1</x:v>
      </x:c>
      <x:c r="B130" s="8" t="str">
        <x:v>N1:03</x:v>
      </x:c>
      <x:c r="C130" s="8" t="str">
        <x:v>N</x:v>
      </x:c>
      <x:c r="D130" s="8" t="str">
        <x:v>5015N</x:v>
      </x:c>
      <x:c r="E130" s="8" t="str">
        <x:v>QF2:3</x:v>
      </x:c>
      <x:c r="F130" s="8" t="str">
        <x:v>—</x:v>
      </x:c>
      <x:c r="G130" s="8" t="str">
        <x:v>Общая шина</x:v>
      </x:c>
    </x:row>
    <x:row r="131" ht="31" hidden="0" customHeight="1">
      <x:c r="A131" s="8" t="str">
        <x:v>ШС1</x:v>
      </x:c>
      <x:c r="B131" s="8" t="str">
        <x:v>N1:04</x:v>
      </x:c>
      <x:c r="C131" s="8" t="str">
        <x:v>N</x:v>
      </x:c>
      <x:c r="D131" s="8" t="str">
        <x:v>5015N</x:v>
      </x:c>
      <x:c r="E131" s="8" t="str">
        <x:v>QF3:3</x:v>
      </x:c>
      <x:c r="F131" s="8" t="str">
        <x:v>—</x:v>
      </x:c>
      <x:c r="G131" s="8" t="str">
        <x:v>Общая шина</x:v>
      </x:c>
    </x:row>
    <x:row r="132" ht="31" hidden="0" customHeight="1">
      <x:c r="A132" s="8" t="str">
        <x:v>ШС1</x:v>
      </x:c>
      <x:c r="B132" s="8" t="str">
        <x:v>N1:05</x:v>
      </x:c>
      <x:c r="C132" s="8" t="str">
        <x:v>N</x:v>
      </x:c>
      <x:c r="D132" s="8" t="str">
        <x:v>5015N</x:v>
      </x:c>
      <x:c r="E132" s="8" t="str">
        <x:v>QF4:3</x:v>
      </x:c>
      <x:c r="F132" s="8" t="str">
        <x:v>—</x:v>
      </x:c>
      <x:c r="G132" s="8" t="str">
        <x:v>Общая шина</x:v>
      </x:c>
    </x:row>
    <x:row r="133" ht="31" hidden="0" customHeight="1">
      <x:c r="A133" s="8" t="str">
        <x:v>ШС1</x:v>
      </x:c>
      <x:c r="B133" s="8" t="str">
        <x:v>N1:06</x:v>
      </x:c>
      <x:c r="C133" s="8" t="str">
        <x:v>N</x:v>
      </x:c>
      <x:c r="D133" s="8" t="str">
        <x:v>5015N</x:v>
      </x:c>
      <x:c r="E133" s="8" t="str">
        <x:v>QFD1:N.in</x:v>
      </x:c>
      <x:c r="F133" s="8" t="str">
        <x:v>—</x:v>
      </x:c>
      <x:c r="G133" s="8" t="str">
        <x:v>Общая шина</x:v>
      </x:c>
    </x:row>
    <x:row r="134" ht="31" hidden="0" customHeight="1">
      <x:c r="A134" s="8" t="str">
        <x:v>ШС1</x:v>
      </x:c>
      <x:c r="B134" s="8" t="str">
        <x:v>N1:07</x:v>
      </x:c>
      <x:c r="C134" s="8" t="str">
        <x:v>NC</x:v>
      </x:c>
      <x:c r="D134" s="8" t="str">
        <x:v>5015N</x:v>
      </x:c>
      <x:c r="E134" s="8" t="str">
        <x:v>Свободна</x:v>
      </x:c>
      <x:c r="F134" s="8" t="str">
        <x:v>—</x:v>
      </x:c>
      <x:c r="G134" s="8" t="str">
        <x:v>Общая шина</x:v>
      </x:c>
    </x:row>
    <x:row r="135" ht="31" hidden="0" customHeight="1">
      <x:c r="A135" s="8" t="str">
        <x:v>ШС1</x:v>
      </x:c>
      <x:c r="B135" s="8" t="str">
        <x:v>N1:08</x:v>
      </x:c>
      <x:c r="C135" s="8" t="str">
        <x:v>NC</x:v>
      </x:c>
      <x:c r="D135" s="8" t="str">
        <x:v>5015N</x:v>
      </x:c>
      <x:c r="E135" s="8" t="str">
        <x:v>Свободна</x:v>
      </x:c>
      <x:c r="F135" s="8" t="str">
        <x:v>—</x:v>
      </x:c>
      <x:c r="G135" s="8" t="str">
        <x:v>Общая шина</x:v>
      </x:c>
    </x:row>
    <x:row r="136" ht="31" hidden="0" customHeight="1">
      <x:c r="A136" s="8" t="str">
        <x:v>ШС1</x:v>
      </x:c>
      <x:c r="B136" s="8" t="str">
        <x:v>N1:09</x:v>
      </x:c>
      <x:c r="C136" s="8" t="str">
        <x:v>NC</x:v>
      </x:c>
      <x:c r="D136" s="8" t="str">
        <x:v>5015N</x:v>
      </x:c>
      <x:c r="E136" s="8" t="str">
        <x:v>Свободна</x:v>
      </x:c>
      <x:c r="F136" s="8" t="str">
        <x:v>—</x:v>
      </x:c>
      <x:c r="G136" s="8" t="str">
        <x:v>Общая шина</x:v>
      </x:c>
    </x:row>
    <x:row r="137" ht="31" hidden="0" customHeight="1">
      <x:c r="A137" s="8" t="str">
        <x:v>ШС1</x:v>
      </x:c>
      <x:c r="B137" s="8" t="str">
        <x:v>N1:10</x:v>
      </x:c>
      <x:c r="C137" s="8" t="str">
        <x:v>NC</x:v>
      </x:c>
      <x:c r="D137" s="8" t="str">
        <x:v>5015N</x:v>
      </x:c>
      <x:c r="E137" s="8" t="str">
        <x:v>Свободна</x:v>
      </x:c>
      <x:c r="F137" s="8" t="str">
        <x:v>—</x:v>
      </x:c>
      <x:c r="G137" s="8" t="str">
        <x:v>Общая шина</x:v>
      </x:c>
    </x:row>
    <x:row r="138" ht="31" hidden="0" customHeight="1">
      <x:c r="A138" s="8" t="str">
        <x:v>ШС1</x:v>
      </x:c>
      <x:c r="B138" s="8" t="str">
        <x:v>N1:11</x:v>
      </x:c>
      <x:c r="C138" s="8" t="str">
        <x:v>NC</x:v>
      </x:c>
      <x:c r="D138" s="8" t="str">
        <x:v>5015N</x:v>
      </x:c>
      <x:c r="E138" s="8" t="str">
        <x:v>Свободна</x:v>
      </x:c>
      <x:c r="F138" s="8" t="str">
        <x:v>—</x:v>
      </x:c>
      <x:c r="G138" s="8" t="str">
        <x:v>Общая шина</x:v>
      </x:c>
    </x:row>
    <x:row r="139" ht="31" hidden="0" customHeight="1">
      <x:c r="A139" s="8" t="str">
        <x:v>ШС1</x:v>
      </x:c>
      <x:c r="B139" s="8" t="str">
        <x:v>N1:12</x:v>
      </x:c>
      <x:c r="C139" s="8" t="str">
        <x:v>NC</x:v>
      </x:c>
      <x:c r="D139" s="8" t="str">
        <x:v>5015N</x:v>
      </x:c>
      <x:c r="E139" s="8" t="str">
        <x:v>Свободна</x:v>
      </x:c>
      <x:c r="F139" s="8" t="str">
        <x:v>—</x:v>
      </x:c>
      <x:c r="G139" s="8" t="str">
        <x:v>Общая шина</x:v>
      </x:c>
    </x:row>
    <x:row r="140" ht="31" hidden="0" customHeight="1">
      <x:c r="A140" s="8" t="str">
        <x:v>ШС1</x:v>
      </x:c>
      <x:c r="B140" s="8" t="str">
        <x:v>N1:13</x:v>
      </x:c>
      <x:c r="C140" s="8" t="str">
        <x:v>NC</x:v>
      </x:c>
      <x:c r="D140" s="8" t="str">
        <x:v>5015N</x:v>
      </x:c>
      <x:c r="E140" s="8" t="str">
        <x:v>Свободна</x:v>
      </x:c>
      <x:c r="F140" s="8" t="str">
        <x:v>—</x:v>
      </x:c>
      <x:c r="G140" s="8" t="str">
        <x:v>Общая шина</x:v>
      </x:c>
    </x:row>
    <x:row r="141" ht="31" hidden="0" customHeight="1">
      <x:c r="A141" s="8" t="str">
        <x:v>ШС1</x:v>
      </x:c>
      <x:c r="B141" s="8" t="str">
        <x:v>N1:14</x:v>
      </x:c>
      <x:c r="C141" s="8" t="str">
        <x:v>NC</x:v>
      </x:c>
      <x:c r="D141" s="8" t="str">
        <x:v>5015N</x:v>
      </x:c>
      <x:c r="E141" s="8" t="str">
        <x:v>Свободна</x:v>
      </x:c>
      <x:c r="F141" s="8" t="str">
        <x:v>—</x:v>
      </x:c>
      <x:c r="G141" s="8" t="str">
        <x:v>Общая шина</x:v>
      </x:c>
    </x:row>
    <x:row r="142" ht="31" hidden="0" customHeight="1">
      <x:c r="A142" s="8" t="str">
        <x:v>ШС1</x:v>
      </x:c>
      <x:c r="B142" s="8" t="str">
        <x:v>N1:15</x:v>
      </x:c>
      <x:c r="C142" s="8" t="str">
        <x:v>N</x:v>
      </x:c>
      <x:c r="D142" s="8" t="str">
        <x:v>5015N</x:v>
      </x:c>
      <x:c r="E142" s="8" t="str">
        <x:v>FV1:N</x:v>
      </x:c>
      <x:c r="F142" s="8" t="str">
        <x:v>—</x:v>
      </x:c>
      <x:c r="G142" s="8" t="str">
        <x:v>Общая шина</x:v>
      </x:c>
    </x:row>
    <x:row r="143" ht="31" hidden="0" customHeight="1">
      <x:c r="A143" s="8" t="str">
        <x:v>ШС1</x:v>
      </x:c>
      <x:c r="B143" s="8" t="str">
        <x:v>PE1:01</x:v>
      </x:c>
      <x:c r="C143" s="8" t="str">
        <x:v>PE</x:v>
      </x:c>
      <x:c r="D143" s="8" t="str">
        <x:v>T1615</x:v>
      </x:c>
      <x:c r="E143" s="8" t="str">
        <x:v>XT1:PE</x:v>
      </x:c>
      <x:c r="F143" s="8" t="str">
        <x:v>—</x:v>
      </x:c>
      <x:c r="G143" s="8" t="str">
        <x:v>Общая шина</x:v>
      </x:c>
    </x:row>
    <x:row r="144" ht="31" hidden="0" customHeight="1">
      <x:c r="A144" s="8" t="str">
        <x:v>ШС1</x:v>
      </x:c>
      <x:c r="B144" s="8" t="str">
        <x:v>PE1:02</x:v>
      </x:c>
      <x:c r="C144" s="8" t="str">
        <x:v>PE</x:v>
      </x:c>
      <x:c r="D144" s="8" t="str">
        <x:v>T1615</x:v>
      </x:c>
      <x:c r="E144" s="8" t="str">
        <x:v>PE2:01</x:v>
      </x:c>
      <x:c r="F144" s="8" t="str">
        <x:v>—</x:v>
      </x:c>
      <x:c r="G144" s="8" t="str">
        <x:v>Общая шина</x:v>
      </x:c>
    </x:row>
    <x:row r="145" ht="31" hidden="0" customHeight="1">
      <x:c r="A145" s="8" t="str">
        <x:v>ШС1</x:v>
      </x:c>
      <x:c r="B145" s="8" t="str">
        <x:v>PE1:03</x:v>
      </x:c>
      <x:c r="C145" s="8" t="str">
        <x:v>PE</x:v>
      </x:c>
      <x:c r="D145" s="8" t="str">
        <x:v>T1615</x:v>
      </x:c>
      <x:c r="E145" s="8" t="str">
        <x:v>XPE1:1a</x:v>
      </x:c>
      <x:c r="F145" s="8" t="str">
        <x:v>—</x:v>
      </x:c>
      <x:c r="G145" s="8" t="str">
        <x:v>Общая шина</x:v>
      </x:c>
    </x:row>
    <x:row r="146" ht="31" hidden="0" customHeight="1">
      <x:c r="A146" s="8" t="str">
        <x:v>ШС1</x:v>
      </x:c>
      <x:c r="B146" s="8" t="str">
        <x:v>PE1:04</x:v>
      </x:c>
      <x:c r="C146" s="8" t="str">
        <x:v>PE</x:v>
      </x:c>
      <x:c r="D146" s="8" t="str">
        <x:v>T1615</x:v>
      </x:c>
      <x:c r="E146" s="8" t="str">
        <x:v>XPE1:2a</x:v>
      </x:c>
      <x:c r="F146" s="8" t="str">
        <x:v>—</x:v>
      </x:c>
      <x:c r="G146" s="8" t="str">
        <x:v>Общая шина</x:v>
      </x:c>
    </x:row>
    <x:row r="147" ht="31" hidden="0" customHeight="1">
      <x:c r="A147" s="8" t="str">
        <x:v>ШС1</x:v>
      </x:c>
      <x:c r="B147" s="8" t="str">
        <x:v>PE1:05</x:v>
      </x:c>
      <x:c r="C147" s="8" t="str">
        <x:v>PE</x:v>
      </x:c>
      <x:c r="D147" s="8" t="str">
        <x:v>T1615</x:v>
      </x:c>
      <x:c r="E147" s="8" t="str">
        <x:v>EQS1:шина экранов</x:v>
      </x:c>
      <x:c r="F147" s="8" t="str">
        <x:v>—</x:v>
      </x:c>
      <x:c r="G147" s="8" t="str">
        <x:v>Общая шина</x:v>
      </x:c>
    </x:row>
    <x:row r="148" ht="31" hidden="0" customHeight="1">
      <x:c r="A148" s="8" t="str">
        <x:v>ШС1</x:v>
      </x:c>
      <x:c r="B148" s="8" t="str">
        <x:v>PE1:06</x:v>
      </x:c>
      <x:c r="C148" s="8" t="str">
        <x:v>NC</x:v>
      </x:c>
      <x:c r="D148" s="8" t="str">
        <x:v>T1615</x:v>
      </x:c>
      <x:c r="E148" s="8" t="str">
        <x:v>Свободна</x:v>
      </x:c>
      <x:c r="F148" s="8" t="str">
        <x:v>—</x:v>
      </x:c>
      <x:c r="G148" s="8" t="str">
        <x:v>Общая шина</x:v>
      </x:c>
    </x:row>
    <x:row r="149" ht="31" hidden="0" customHeight="1">
      <x:c r="A149" s="8" t="str">
        <x:v>ШС1</x:v>
      </x:c>
      <x:c r="B149" s="8" t="str">
        <x:v>PE1:07</x:v>
      </x:c>
      <x:c r="C149" s="8" t="str">
        <x:v>PE</x:v>
      </x:c>
      <x:c r="D149" s="8" t="str">
        <x:v>T1615</x:v>
      </x:c>
      <x:c r="E149" s="8" t="str">
        <x:v>XPE1:3a</x:v>
      </x:c>
      <x:c r="F149" s="8" t="str">
        <x:v>—</x:v>
      </x:c>
      <x:c r="G149" s="8" t="str">
        <x:v>Общая шина</x:v>
      </x:c>
    </x:row>
    <x:row r="150" ht="31" hidden="0" customHeight="1">
      <x:c r="A150" s="8" t="str">
        <x:v>ШС1</x:v>
      </x:c>
      <x:c r="B150" s="8" t="str">
        <x:v>PE1:08</x:v>
      </x:c>
      <x:c r="C150" s="8" t="str">
        <x:v>PE</x:v>
      </x:c>
      <x:c r="D150" s="8" t="str">
        <x:v>T1615</x:v>
      </x:c>
      <x:c r="E150" s="8" t="str">
        <x:v>XPE1:4a</x:v>
      </x:c>
      <x:c r="F150" s="8" t="str">
        <x:v>—</x:v>
      </x:c>
      <x:c r="G150" s="8" t="str">
        <x:v>Общая шина</x:v>
      </x:c>
    </x:row>
    <x:row r="151" ht="31" hidden="0" customHeight="1">
      <x:c r="A151" s="8" t="str">
        <x:v>ШС1</x:v>
      </x:c>
      <x:c r="B151" s="8" t="str">
        <x:v>PE1:09</x:v>
      </x:c>
      <x:c r="C151" s="8" t="str">
        <x:v>PE</x:v>
      </x:c>
      <x:c r="D151" s="8" t="str">
        <x:v>T1615</x:v>
      </x:c>
      <x:c r="E151" s="8" t="str">
        <x:v>XPE1:5a</x:v>
      </x:c>
      <x:c r="F151" s="8" t="str">
        <x:v>—</x:v>
      </x:c>
      <x:c r="G151" s="8" t="str">
        <x:v>Общая шина</x:v>
      </x:c>
    </x:row>
    <x:row r="152" ht="31" hidden="0" customHeight="1">
      <x:c r="A152" s="8" t="str">
        <x:v>ШС1</x:v>
      </x:c>
      <x:c r="B152" s="8" t="str">
        <x:v>PE1:10</x:v>
      </x:c>
      <x:c r="C152" s="8" t="str">
        <x:v>PE</x:v>
      </x:c>
      <x:c r="D152" s="8" t="str">
        <x:v>T1615</x:v>
      </x:c>
      <x:c r="E152" s="8" t="str">
        <x:v>XPE1:6a</x:v>
      </x:c>
      <x:c r="F152" s="8" t="str">
        <x:v>—</x:v>
      </x:c>
      <x:c r="G152" s="8" t="str">
        <x:v>Общая шина</x:v>
      </x:c>
    </x:row>
    <x:row r="153" ht="31" hidden="0" customHeight="1">
      <x:c r="A153" s="8" t="str">
        <x:v>ШС1</x:v>
      </x:c>
      <x:c r="B153" s="8" t="str">
        <x:v>PE1:11</x:v>
      </x:c>
      <x:c r="C153" s="8" t="str">
        <x:v>PE</x:v>
      </x:c>
      <x:c r="D153" s="8" t="str">
        <x:v>T1615</x:v>
      </x:c>
      <x:c r="E153" s="8" t="str">
        <x:v>XPE1:7a</x:v>
      </x:c>
      <x:c r="F153" s="8" t="str">
        <x:v>—</x:v>
      </x:c>
      <x:c r="G153" s="8" t="str">
        <x:v>Общая шина</x:v>
      </x:c>
    </x:row>
    <x:row r="154" ht="31" hidden="0" customHeight="1">
      <x:c r="A154" s="8" t="str">
        <x:v>ШС1</x:v>
      </x:c>
      <x:c r="B154" s="8" t="str">
        <x:v>PE1:12</x:v>
      </x:c>
      <x:c r="C154" s="8" t="str">
        <x:v>PE</x:v>
      </x:c>
      <x:c r="D154" s="8" t="str">
        <x:v>T1615</x:v>
      </x:c>
      <x:c r="E154" s="8" t="str">
        <x:v>UZ1:PE</x:v>
      </x:c>
      <x:c r="F154" s="8" t="str">
        <x:v>—</x:v>
      </x:c>
      <x:c r="G154" s="8" t="str">
        <x:v>Общая шина</x:v>
      </x:c>
    </x:row>
    <x:row r="155" ht="31" hidden="0" customHeight="1">
      <x:c r="A155" s="8" t="str">
        <x:v>ШС1</x:v>
      </x:c>
      <x:c r="B155" s="8" t="str">
        <x:v>PE1:13</x:v>
      </x:c>
      <x:c r="C155" s="8" t="str">
        <x:v>NC</x:v>
      </x:c>
      <x:c r="D155" s="8" t="str">
        <x:v>T1615</x:v>
      </x:c>
      <x:c r="E155" s="8" t="str">
        <x:v>Свободна</x:v>
      </x:c>
      <x:c r="F155" s="8" t="str">
        <x:v>—</x:v>
      </x:c>
      <x:c r="G155" s="8" t="str">
        <x:v>Общая шина</x:v>
      </x:c>
    </x:row>
    <x:row r="156" ht="31" hidden="0" customHeight="1">
      <x:c r="A156" s="8" t="str">
        <x:v>ШС1</x:v>
      </x:c>
      <x:c r="B156" s="8" t="str">
        <x:v>PE1:14</x:v>
      </x:c>
      <x:c r="C156" s="8" t="str">
        <x:v>PE</x:v>
      </x:c>
      <x:c r="D156" s="8" t="str">
        <x:v>T1615</x:v>
      </x:c>
      <x:c r="E156" s="8" t="str">
        <x:v>XPE1:8a</x:v>
      </x:c>
      <x:c r="F156" s="8" t="str">
        <x:v>—</x:v>
      </x:c>
      <x:c r="G156" s="8" t="str">
        <x:v>Общая шина</x:v>
      </x:c>
    </x:row>
    <x:row r="157" ht="31" hidden="0" customHeight="1">
      <x:c r="A157" s="8" t="str">
        <x:v>ШС1</x:v>
      </x:c>
      <x:c r="B157" s="8" t="str">
        <x:v>PE1:15</x:v>
      </x:c>
      <x:c r="C157" s="8" t="str">
        <x:v>2</x:v>
      </x:c>
      <x:c r="D157" s="8" t="str">
        <x:v>T1615</x:v>
      </x:c>
      <x:c r="E157" s="8" t="str">
        <x:v>G2:-V</x:v>
      </x:c>
      <x:c r="F157" s="8" t="str">
        <x:v>—</x:v>
      </x:c>
      <x:c r="G157" s="8" t="str">
        <x:v>Общая шина</x:v>
      </x:c>
    </x:row>
    <x:row r="158" ht="31" hidden="0" customHeight="1">
      <x:c r="A158" s="8" t="str">
        <x:v>ШС1</x:v>
      </x:c>
      <x:c r="B158" s="8" t="str">
        <x:v>PE2:01</x:v>
      </x:c>
      <x:c r="C158" s="8" t="str">
        <x:v>PE</x:v>
      </x:c>
      <x:c r="D158" s="8" t="str">
        <x:v>T1615</x:v>
      </x:c>
      <x:c r="E158" s="8" t="str">
        <x:v>PE1:02</x:v>
      </x:c>
      <x:c r="F158" s="8" t="str">
        <x:v>—</x:v>
      </x:c>
      <x:c r="G158" s="8" t="str">
        <x:v>Общая шина</x:v>
      </x:c>
    </x:row>
    <x:row r="159" ht="31" hidden="0" customHeight="1">
      <x:c r="A159" s="8" t="str">
        <x:v>ШС1</x:v>
      </x:c>
      <x:c r="B159" s="8" t="str">
        <x:v>PE2:02</x:v>
      </x:c>
      <x:c r="C159" s="8" t="str">
        <x:v>PE</x:v>
      </x:c>
      <x:c r="D159" s="8" t="str">
        <x:v>T1615</x:v>
      </x:c>
      <x:c r="E159" s="8" t="str">
        <x:v>XT8:PE</x:v>
      </x:c>
      <x:c r="F159" s="8" t="str">
        <x:v>—</x:v>
      </x:c>
      <x:c r="G159" s="8" t="str">
        <x:v>Общая шина</x:v>
      </x:c>
    </x:row>
    <x:row r="160" ht="31" hidden="0" customHeight="1">
      <x:c r="A160" s="8" t="str">
        <x:v>ШС1</x:v>
      </x:c>
      <x:c r="B160" s="8" t="str">
        <x:v>PE2:03</x:v>
      </x:c>
      <x:c r="C160" s="8" t="str">
        <x:v>PE</x:v>
      </x:c>
      <x:c r="D160" s="8" t="str">
        <x:v>T1615</x:v>
      </x:c>
      <x:c r="E160" s="8" t="str">
        <x:v>XT10:PE</x:v>
      </x:c>
      <x:c r="F160" s="8" t="str">
        <x:v>—</x:v>
      </x:c>
      <x:c r="G160" s="8" t="str">
        <x:v>Общая шина</x:v>
      </x:c>
    </x:row>
    <x:row r="161" ht="31" hidden="0" customHeight="1">
      <x:c r="A161" s="8" t="str">
        <x:v>ШС1</x:v>
      </x:c>
      <x:c r="B161" s="8" t="str">
        <x:v>PE2:04</x:v>
      </x:c>
      <x:c r="C161" s="8" t="str">
        <x:v>PE</x:v>
      </x:c>
      <x:c r="D161" s="8" t="str">
        <x:v>T1615</x:v>
      </x:c>
      <x:c r="E161" s="8" t="str">
        <x:v>ШС1:дверь</x:v>
      </x:c>
      <x:c r="F161" s="8" t="str">
        <x:v>—</x:v>
      </x:c>
      <x:c r="G161" s="8" t="str">
        <x:v>Общая шина</x:v>
      </x:c>
    </x:row>
    <x:row r="162" ht="31" hidden="0" customHeight="1">
      <x:c r="A162" s="8" t="str">
        <x:v>ШС1</x:v>
      </x:c>
      <x:c r="B162" s="8" t="str">
        <x:v>PE2:05</x:v>
      </x:c>
      <x:c r="C162" s="8" t="str">
        <x:v>PE</x:v>
      </x:c>
      <x:c r="D162" s="8" t="str">
        <x:v>T1615</x:v>
      </x:c>
      <x:c r="E162" s="8" t="str">
        <x:v>ШС1:корпус</x:v>
      </x:c>
      <x:c r="F162" s="8" t="str">
        <x:v>—</x:v>
      </x:c>
      <x:c r="G162" s="8" t="str">
        <x:v>Общая шина</x:v>
      </x:c>
    </x:row>
    <x:row r="163" ht="31" hidden="0" customHeight="1">
      <x:c r="A163" s="8" t="str">
        <x:v>ШС1</x:v>
      </x:c>
      <x:c r="B163" s="8" t="str">
        <x:v>PE2:06</x:v>
      </x:c>
      <x:c r="C163" s="8" t="str">
        <x:v>PE</x:v>
      </x:c>
      <x:c r="D163" s="8" t="str">
        <x:v>T1615</x:v>
      </x:c>
      <x:c r="E163" s="8" t="str">
        <x:v>ШС1:плита</x:v>
      </x:c>
      <x:c r="F163" s="8" t="str">
        <x:v>—</x:v>
      </x:c>
      <x:c r="G163" s="8" t="str">
        <x:v>Общая шина</x:v>
      </x:c>
    </x:row>
    <x:row r="164" ht="31" hidden="0" customHeight="1">
      <x:c r="A164" s="8" t="str">
        <x:v>ШС1</x:v>
      </x:c>
      <x:c r="B164" s="8" t="str">
        <x:v>PE2:07</x:v>
      </x:c>
      <x:c r="C164" s="8" t="str">
        <x:v>NC</x:v>
      </x:c>
      <x:c r="D164" s="8" t="str">
        <x:v>T1615</x:v>
      </x:c>
      <x:c r="E164" s="8" t="str">
        <x:v>Свободна</x:v>
      </x:c>
      <x:c r="F164" s="8" t="str">
        <x:v>—</x:v>
      </x:c>
      <x:c r="G164" s="8" t="str">
        <x:v>Общая шина</x:v>
      </x:c>
    </x:row>
    <x:row r="165" ht="31" hidden="0" customHeight="1">
      <x:c r="A165" s="8" t="str">
        <x:v>ШС1</x:v>
      </x:c>
      <x:c r="B165" s="8" t="str">
        <x:v>PE2:08</x:v>
      </x:c>
      <x:c r="C165" s="8" t="str">
        <x:v>NC</x:v>
      </x:c>
      <x:c r="D165" s="8" t="str">
        <x:v>T1615</x:v>
      </x:c>
      <x:c r="E165" s="8" t="str">
        <x:v>Свободна</x:v>
      </x:c>
      <x:c r="F165" s="8" t="str">
        <x:v>—</x:v>
      </x:c>
      <x:c r="G165" s="8" t="str">
        <x:v>Общая шина</x:v>
      </x:c>
    </x:row>
    <x:row r="166" ht="31" hidden="0" customHeight="1">
      <x:c r="A166" s="8" t="str">
        <x:v>ШС1</x:v>
      </x:c>
      <x:c r="B166" s="8" t="str">
        <x:v>PE2:09</x:v>
      </x:c>
      <x:c r="C166" s="8" t="str">
        <x:v>NC</x:v>
      </x:c>
      <x:c r="D166" s="8" t="str">
        <x:v>T1615</x:v>
      </x:c>
      <x:c r="E166" s="8" t="str">
        <x:v>Свободна</x:v>
      </x:c>
      <x:c r="F166" s="8" t="str">
        <x:v>—</x:v>
      </x:c>
      <x:c r="G166" s="8" t="str">
        <x:v>Общая шина</x:v>
      </x:c>
    </x:row>
    <x:row r="167" ht="31" hidden="0" customHeight="1">
      <x:c r="A167" s="8" t="str">
        <x:v>ШС1</x:v>
      </x:c>
      <x:c r="B167" s="8" t="str">
        <x:v>PE2:10</x:v>
      </x:c>
      <x:c r="C167" s="8" t="str">
        <x:v>NC</x:v>
      </x:c>
      <x:c r="D167" s="8" t="str">
        <x:v>T1615</x:v>
      </x:c>
      <x:c r="E167" s="8" t="str">
        <x:v>Свободна</x:v>
      </x:c>
      <x:c r="F167" s="8" t="str">
        <x:v>—</x:v>
      </x:c>
      <x:c r="G167" s="8" t="str">
        <x:v>Общая шина</x:v>
      </x:c>
    </x:row>
    <x:row r="168" ht="31" hidden="0" customHeight="1">
      <x:c r="A168" s="8" t="str">
        <x:v>ШС1</x:v>
      </x:c>
      <x:c r="B168" s="8" t="str">
        <x:v>PE2:11</x:v>
      </x:c>
      <x:c r="C168" s="8" t="str">
        <x:v>NC</x:v>
      </x:c>
      <x:c r="D168" s="8" t="str">
        <x:v>T1615</x:v>
      </x:c>
      <x:c r="E168" s="8" t="str">
        <x:v>Свободна</x:v>
      </x:c>
      <x:c r="F168" s="8" t="str">
        <x:v>—</x:v>
      </x:c>
      <x:c r="G168" s="8" t="str">
        <x:v>Общая шина</x:v>
      </x:c>
    </x:row>
    <x:row r="169" ht="31" hidden="0" customHeight="1">
      <x:c r="A169" s="8" t="str">
        <x:v>ШС1</x:v>
      </x:c>
      <x:c r="B169" s="8" t="str">
        <x:v>PE2:12</x:v>
      </x:c>
      <x:c r="C169" s="8" t="str">
        <x:v>NC</x:v>
      </x:c>
      <x:c r="D169" s="8" t="str">
        <x:v>T1615</x:v>
      </x:c>
      <x:c r="E169" s="8" t="str">
        <x:v>Свободна</x:v>
      </x:c>
      <x:c r="F169" s="8" t="str">
        <x:v>—</x:v>
      </x:c>
      <x:c r="G169" s="8" t="str">
        <x:v>Общая шина</x:v>
      </x:c>
    </x:row>
    <x:row r="170" ht="31" hidden="0" customHeight="1">
      <x:c r="A170" s="8" t="str">
        <x:v>ШС1</x:v>
      </x:c>
      <x:c r="B170" s="8" t="str">
        <x:v>PE2:13</x:v>
      </x:c>
      <x:c r="C170" s="8" t="str">
        <x:v>NC</x:v>
      </x:c>
      <x:c r="D170" s="8" t="str">
        <x:v>T1615</x:v>
      </x:c>
      <x:c r="E170" s="8" t="str">
        <x:v>Свободна</x:v>
      </x:c>
      <x:c r="F170" s="8" t="str">
        <x:v>—</x:v>
      </x:c>
      <x:c r="G170" s="8" t="str">
        <x:v>Общая шина</x:v>
      </x:c>
    </x:row>
    <x:row r="171" ht="31" hidden="0" customHeight="1">
      <x:c r="A171" s="8" t="str">
        <x:v>ШС1</x:v>
      </x:c>
      <x:c r="B171" s="8" t="str">
        <x:v>PE2:14</x:v>
      </x:c>
      <x:c r="C171" s="8" t="str">
        <x:v>NC</x:v>
      </x:c>
      <x:c r="D171" s="8" t="str">
        <x:v>T1615</x:v>
      </x:c>
      <x:c r="E171" s="8" t="str">
        <x:v>Свободна</x:v>
      </x:c>
      <x:c r="F171" s="8" t="str">
        <x:v>—</x:v>
      </x:c>
      <x:c r="G171" s="8" t="str">
        <x:v>Общая шина</x:v>
      </x:c>
    </x:row>
    <x:row r="172" ht="31" hidden="0" customHeight="1">
      <x:c r="A172" s="8" t="str">
        <x:v>ШС1</x:v>
      </x:c>
      <x:c r="B172" s="8" t="str">
        <x:v>PE2:15</x:v>
      </x:c>
      <x:c r="C172" s="8" t="str">
        <x:v>PE</x:v>
      </x:c>
      <x:c r="D172" s="8" t="str">
        <x:v>T1615</x:v>
      </x:c>
      <x:c r="E172" s="8" t="str">
        <x:v>FV1:PE</x:v>
      </x:c>
      <x:c r="F172" s="8" t="str">
        <x:v>—</x:v>
      </x:c>
      <x:c r="G172" s="8" t="str">
        <x:v>Общая шина</x:v>
      </x:c>
    </x:row>
    <x:row r="173" ht="31" hidden="0" customHeight="1">
      <x:c r="A173" s="8" t="str">
        <x:v>ШО1</x:v>
      </x:c>
      <x:c r="B173" s="8" t="str">
        <x:v>ШО1.PE:01</x:v>
      </x:c>
      <x:c r="C173" s="8" t="str">
        <x:v>PE</x:v>
      </x:c>
      <x:c r="D173" s="8" t="str">
        <x:v>T1615</x:v>
      </x:c>
      <x:c r="E173" s="8" t="str">
        <x:v>ШО1.XT8:PE</x:v>
      </x:c>
      <x:c r="F173" s="8" t="str">
        <x:v>—</x:v>
      </x:c>
      <x:c r="G173" s="8" t="str">
        <x:v>Общая шина</x:v>
      </x:c>
    </x:row>
    <x:row r="174" ht="31" hidden="0" customHeight="1">
      <x:c r="A174" s="8" t="str">
        <x:v>ШО1</x:v>
      </x:c>
      <x:c r="B174" s="8" t="str">
        <x:v>ШО1.PE:02</x:v>
      </x:c>
      <x:c r="C174" s="8" t="str">
        <x:v>PE</x:v>
      </x:c>
      <x:c r="D174" s="8" t="str">
        <x:v>T1615</x:v>
      </x:c>
      <x:c r="E174" s="8" t="str">
        <x:v>ШО1:корпус</x:v>
      </x:c>
      <x:c r="F174" s="8" t="str">
        <x:v>—</x:v>
      </x:c>
      <x:c r="G174" s="8" t="str">
        <x:v>Общая шина</x:v>
      </x:c>
    </x:row>
    <x:row r="175" ht="31" hidden="0" customHeight="1">
      <x:c r="A175" s="8" t="str">
        <x:v>ШО1</x:v>
      </x:c>
      <x:c r="B175" s="8" t="str">
        <x:v>ШО1.PE:03</x:v>
      </x:c>
      <x:c r="C175" s="8" t="str">
        <x:v>PE</x:v>
      </x:c>
      <x:c r="D175" s="8" t="str">
        <x:v>T1615</x:v>
      </x:c>
      <x:c r="E175" s="8" t="str">
        <x:v>ШО1:плита</x:v>
      </x:c>
      <x:c r="F175" s="8" t="str">
        <x:v>—</x:v>
      </x:c>
      <x:c r="G175" s="8" t="str">
        <x:v>Общая шина</x:v>
      </x:c>
    </x:row>
    <x:row r="176" ht="31" hidden="0" customHeight="1">
      <x:c r="A176" s="8" t="str">
        <x:v>ШО1</x:v>
      </x:c>
      <x:c r="B176" s="8" t="str">
        <x:v>ШО1.PE:04</x:v>
      </x:c>
      <x:c r="C176" s="8" t="str">
        <x:v>PE</x:v>
      </x:c>
      <x:c r="D176" s="8" t="str">
        <x:v>T1615</x:v>
      </x:c>
      <x:c r="E176" s="8" t="str">
        <x:v>ШО1:дверь</x:v>
      </x:c>
      <x:c r="F176" s="8" t="str">
        <x:v>—</x:v>
      </x:c>
      <x:c r="G176" s="8" t="str">
        <x:v>Общая шина</x:v>
      </x:c>
    </x:row>
    <x:row r="177" ht="31" hidden="0" customHeight="1">
      <x:c r="A177" s="8" t="str">
        <x:v>ШО1</x:v>
      </x:c>
      <x:c r="B177" s="8" t="str">
        <x:v>ШО1.PE:05</x:v>
      </x:c>
      <x:c r="C177" s="8" t="str">
        <x:v>PE</x:v>
      </x:c>
      <x:c r="D177" s="8" t="str">
        <x:v>T1615</x:v>
      </x:c>
      <x:c r="E177" s="8" t="str">
        <x:v>ШО1.XPE1:1a</x:v>
      </x:c>
      <x:c r="F177" s="8" t="str">
        <x:v>—</x:v>
      </x:c>
      <x:c r="G177" s="8" t="str">
        <x:v>Общая шина</x:v>
      </x:c>
    </x:row>
    <x:row r="178" ht="31" hidden="0" customHeight="1">
      <x:c r="A178" s="8" t="str">
        <x:v>ШО1</x:v>
      </x:c>
      <x:c r="B178" s="8" t="str">
        <x:v>ШО1.PE:06</x:v>
      </x:c>
      <x:c r="C178" s="8" t="str">
        <x:v>NC</x:v>
      </x:c>
      <x:c r="D178" s="8" t="str">
        <x:v>T1615</x:v>
      </x:c>
      <x:c r="E178" s="8" t="str">
        <x:v>Свободна</x:v>
      </x:c>
      <x:c r="F178" s="8" t="str">
        <x:v>—</x:v>
      </x:c>
      <x:c r="G178" s="8" t="str">
        <x:v>Общая шина</x:v>
      </x:c>
    </x:row>
    <x:row r="179" ht="31" hidden="0" customHeight="1">
      <x:c r="A179" s="8" t="str">
        <x:v>ШО1</x:v>
      </x:c>
      <x:c r="B179" s="8" t="str">
        <x:v>ШО1.PE:07</x:v>
      </x:c>
      <x:c r="C179" s="8" t="str">
        <x:v>NC</x:v>
      </x:c>
      <x:c r="D179" s="8" t="str">
        <x:v>T1615</x:v>
      </x:c>
      <x:c r="E179" s="8" t="str">
        <x:v>Свободна</x:v>
      </x:c>
      <x:c r="F179" s="8" t="str">
        <x:v>—</x:v>
      </x:c>
      <x:c r="G179" s="8" t="str">
        <x:v>Общая шина</x:v>
      </x:c>
    </x:row>
    <x:row r="180" ht="31" hidden="0" customHeight="1">
      <x:c r="A180" s="8" t="str">
        <x:v>ШО1</x:v>
      </x:c>
      <x:c r="B180" s="8" t="str">
        <x:v>ШО1.PE:08</x:v>
      </x:c>
      <x:c r="C180" s="8" t="str">
        <x:v>NC</x:v>
      </x:c>
      <x:c r="D180" s="8" t="str">
        <x:v>T1615</x:v>
      </x:c>
      <x:c r="E180" s="8" t="str">
        <x:v>Свободна</x:v>
      </x:c>
      <x:c r="F180" s="8" t="str">
        <x:v>—</x:v>
      </x:c>
      <x:c r="G180" s="8" t="str">
        <x:v>Общая шина</x:v>
      </x:c>
    </x:row>
    <x:row r="181" ht="31" hidden="0" customHeight="1">
      <x:c r="A181" s="8" t="str">
        <x:v>ШО1</x:v>
      </x:c>
      <x:c r="B181" s="8" t="str">
        <x:v>ШО1.PE:09</x:v>
      </x:c>
      <x:c r="C181" s="8" t="str">
        <x:v>NC</x:v>
      </x:c>
      <x:c r="D181" s="8" t="str">
        <x:v>T1615</x:v>
      </x:c>
      <x:c r="E181" s="8" t="str">
        <x:v>Свободна</x:v>
      </x:c>
      <x:c r="F181" s="8" t="str">
        <x:v>—</x:v>
      </x:c>
      <x:c r="G181" s="8" t="str">
        <x:v>Общая шина</x:v>
      </x:c>
    </x:row>
    <x:row r="182" ht="31" hidden="0" customHeight="1">
      <x:c r="A182" s="8" t="str">
        <x:v>ШО1</x:v>
      </x:c>
      <x:c r="B182" s="8" t="str">
        <x:v>ШО1.PE:10</x:v>
      </x:c>
      <x:c r="C182" s="8" t="str">
        <x:v>NC</x:v>
      </x:c>
      <x:c r="D182" s="8" t="str">
        <x:v>T1615</x:v>
      </x:c>
      <x:c r="E182" s="8" t="str">
        <x:v>Свободна</x:v>
      </x:c>
      <x:c r="F182" s="8" t="str">
        <x:v>—</x:v>
      </x:c>
      <x:c r="G182" s="8" t="str">
        <x:v>Общая шина</x:v>
      </x:c>
    </x:row>
    <x:row r="183" ht="31" hidden="0" customHeight="1">
      <x:c r="A183" s="8" t="str">
        <x:v>ШО1</x:v>
      </x:c>
      <x:c r="B183" s="8" t="str">
        <x:v>ШО1.PE:11</x:v>
      </x:c>
      <x:c r="C183" s="8" t="str">
        <x:v>NC</x:v>
      </x:c>
      <x:c r="D183" s="8" t="str">
        <x:v>T1615</x:v>
      </x:c>
      <x:c r="E183" s="8" t="str">
        <x:v>Свободна</x:v>
      </x:c>
      <x:c r="F183" s="8" t="str">
        <x:v>—</x:v>
      </x:c>
      <x:c r="G183" s="8" t="str">
        <x:v>Общая шина</x:v>
      </x:c>
    </x:row>
    <x:row r="184" ht="31" hidden="0" customHeight="1">
      <x:c r="A184" s="8" t="str">
        <x:v>ШО1</x:v>
      </x:c>
      <x:c r="B184" s="8" t="str">
        <x:v>ШО1.PE:12</x:v>
      </x:c>
      <x:c r="C184" s="8" t="str">
        <x:v>NC</x:v>
      </x:c>
      <x:c r="D184" s="8" t="str">
        <x:v>T1615</x:v>
      </x:c>
      <x:c r="E184" s="8" t="str">
        <x:v>Свободна</x:v>
      </x:c>
      <x:c r="F184" s="8" t="str">
        <x:v>—</x:v>
      </x:c>
      <x:c r="G184" s="8" t="str">
        <x:v>Общая шина</x:v>
      </x:c>
    </x:row>
    <x:row r="185" ht="31" hidden="0" customHeight="1">
      <x:c r="A185" s="8" t="str">
        <x:v>ШО1</x:v>
      </x:c>
      <x:c r="B185" s="8" t="str">
        <x:v>ШО1.PE:13</x:v>
      </x:c>
      <x:c r="C185" s="8" t="str">
        <x:v>NC</x:v>
      </x:c>
      <x:c r="D185" s="8" t="str">
        <x:v>T1615</x:v>
      </x:c>
      <x:c r="E185" s="8" t="str">
        <x:v>Свободна</x:v>
      </x:c>
      <x:c r="F185" s="8" t="str">
        <x:v>—</x:v>
      </x:c>
      <x:c r="G185" s="8" t="str">
        <x:v>Общая шина</x:v>
      </x:c>
    </x:row>
    <x:row r="186" ht="31" hidden="0" customHeight="1">
      <x:c r="A186" s="8" t="str">
        <x:v>ШО1</x:v>
      </x:c>
      <x:c r="B186" s="8" t="str">
        <x:v>ШО1.PE:14</x:v>
      </x:c>
      <x:c r="C186" s="8" t="str">
        <x:v>NC</x:v>
      </x:c>
      <x:c r="D186" s="8" t="str">
        <x:v>T1615</x:v>
      </x:c>
      <x:c r="E186" s="8" t="str">
        <x:v>Свободна</x:v>
      </x:c>
      <x:c r="F186" s="8" t="str">
        <x:v>—</x:v>
      </x:c>
      <x:c r="G186" s="8" t="str">
        <x:v>Общая шина</x:v>
      </x:c>
    </x:row>
    <x:row r="187" ht="31" hidden="0" customHeight="1">
      <x:c r="A187" s="8" t="str">
        <x:v>ШО1</x:v>
      </x:c>
      <x:c r="B187" s="8" t="str">
        <x:v>ШО1.PE:15</x:v>
      </x:c>
      <x:c r="C187" s="8" t="str">
        <x:v>NC</x:v>
      </x:c>
      <x:c r="D187" s="8" t="str">
        <x:v>T1615</x:v>
      </x:c>
      <x:c r="E187" s="8" t="str">
        <x:v>Свободна</x:v>
      </x:c>
      <x:c r="F187" s="8" t="str">
        <x:v>—</x:v>
      </x:c>
      <x:c r="G187" s="8" t="str">
        <x:v>Общая шина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55" hidden="0" customWidth="1"/>
    <x:col min="4" max="4" width="33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8" hidden="0" customWidth="1"/>
    <x:col min="11" max="11" width="20" hidden="0" customWidth="1"/>
    <x:col min="12" max="12" width="60" hidden="0" customWidth="1"/>
  </x:cols>
  <x:sheetData>
    <x:row r="1" ht="28" customHeight="1">
      <x:c r="A1" s="5" t="str">
        <x:v>X2002 — перечень элементов и материалов. Р29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4" customHeight="1">
      <x:c r="A2" s="4" t="str">
        <x:v>Одна позиция = ШС1 + ШО1. Установлено для двух позиций и запас рассчитаны отдельно. Количество позиций: 2. Пусто у материалов — расход по месту.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44.599998474121094" hidden="0" customHeight="1">
      <x:c r="A4" s="7" t="str">
        <x:v>№ спецификации</x:v>
      </x:c>
      <x:c r="B4" s="7" t="str">
        <x:v>Обозначение</x:v>
      </x:c>
      <x:c r="C4" s="7" t="str">
        <x:v>Наименование</x:v>
      </x:c>
      <x:c r="D4" s="7" t="str">
        <x:v>Тип / артикул</x:v>
      </x:c>
      <x:c r="E4" s="7" t="str">
        <x:v>Производитель</x:v>
      </x:c>
      <x:c r="F4" s="7" t="str">
        <x:v>На одну позицию</x:v>
      </x:c>
      <x:c r="G4" s="7" t="str">
        <x:v>На две позиции</x:v>
      </x:c>
      <x:c r="H4" s="7" t="str">
        <x:v>Закупка</x:v>
      </x:c>
      <x:c r="I4" s="7" t="str">
        <x:v>Запас / ЗИП</x:v>
      </x:c>
      <x:c r="J4" s="7" t="str">
        <x:v>Ед.</x:v>
      </x:c>
      <x:c r="K4" s="7" t="str">
        <x:v>Место</x:v>
      </x:c>
      <x:c r="L4" s="7" t="str">
        <x:v>Примечание</x:v>
      </x:c>
    </x:row>
    <x:row r="5" ht="31" hidden="0" customHeight="1">
      <x:c r="A5" s="8" t="n">
        <x:v>1</x:v>
      </x:c>
      <x:c r="B5" s="8" t="str">
        <x:v>ШС1</x:v>
      </x:c>
      <x:c r="C5" s="8" t="str">
        <x:v>Корпус силового шкафа с монтажной платой, 1200×800×400 мм, IP66</x:v>
      </x:c>
      <x:c r="D5" s="8" t="str">
        <x:v>R5ST1284</x:v>
      </x:c>
      <x:c r="E5" s="8" t="str">
        <x:v>DKC</x:v>
      </x:c>
      <x:c r="F5" s="10" t="n">
        <x:v>1</x:v>
      </x:c>
      <x:c r="G5" s="10" t="n">
        <x:f>F5*2</x:f>
        <x:v>2</x:v>
      </x:c>
      <x:c r="H5" s="10" t="n">
        <x:v>2</x:v>
      </x:c>
      <x:c r="I5" s="10" t="n">
        <x:f>H5-G5</x:f>
        <x:v>0</x:v>
      </x:c>
      <x:c r="J5" s="8" t="str">
        <x:v>шт.</x:v>
      </x:c>
      <x:c r="K5" s="8" t="str">
        <x:v>ШС1</x:v>
      </x:c>
      <x:c r="L5" s="8" t="str">
        <x:v>ШС1, ШС2. В×Ш×Г: 1200×800×400 мм. Монтажная плата 1150×750 мм в комплекте.</x:v>
      </x:c>
    </x:row>
    <x:row r="6" ht="31" hidden="0" customHeight="1">
      <x:c r="A6" s="8" t="n">
        <x:v>2</x:v>
      </x:c>
      <x:c r="B6" s="8" t="str">
        <x:v>ШО1</x:v>
      </x:c>
      <x:c r="C6" s="8" t="str">
        <x:v>Корпус шкафа оператора с монтажной платой, 500×400×200 мм, IP66</x:v>
      </x:c>
      <x:c r="D6" s="8" t="str">
        <x:v>R5ST0542</x:v>
      </x:c>
      <x:c r="E6" s="8" t="str">
        <x:v>DKC</x:v>
      </x:c>
      <x:c r="F6" s="10" t="n">
        <x:v>1</x:v>
      </x:c>
      <x:c r="G6" s="10" t="n">
        <x:f>F6*2</x:f>
        <x:v>2</x:v>
      </x:c>
      <x:c r="H6" s="10" t="n">
        <x:v>2</x:v>
      </x:c>
      <x:c r="I6" s="10" t="n">
        <x:f>H6-G6</x:f>
        <x:v>0</x:v>
      </x:c>
      <x:c r="J6" s="8" t="str">
        <x:v>шт.</x:v>
      </x:c>
      <x:c r="K6" s="8" t="str">
        <x:v>ШО1</x:v>
      </x:c>
      <x:c r="L6" s="8" t="str">
        <x:v>ШО1, ШО2.</x:v>
      </x:c>
    </x:row>
    <x:row r="7" ht="31" hidden="0" customHeight="1">
      <x:c r="A7" s="8" t="n">
        <x:v>3</x:v>
      </x:c>
      <x:c r="B7" s="8" t="str">
        <x:v>HL0</x:v>
      </x:c>
      <x:c r="C7" s="8" t="str">
        <x:v>Светильник шкафа LED, 110–230 В AC, 4 Вт</x:v>
      </x:c>
      <x:c r="D7" s="8" t="str">
        <x:v>R5MCPCLS</x:v>
      </x:c>
      <x:c r="E7" s="8" t="str">
        <x:v>DKC</x:v>
      </x:c>
      <x:c r="F7" s="10" t="n">
        <x:v>1</x:v>
      </x:c>
      <x:c r="G7" s="10" t="n">
        <x:f>F7*2</x:f>
        <x:v>2</x:v>
      </x:c>
      <x:c r="H7" s="10" t="n">
        <x:v>2</x:v>
      </x:c>
      <x:c r="I7" s="10" t="n">
        <x:f>H7-G7</x:f>
        <x:v>0</x:v>
      </x:c>
      <x:c r="J7" s="8" t="str">
        <x:v>шт.</x:v>
      </x:c>
      <x:c r="K7" s="8" t="str">
        <x:v>ШС1</x:v>
      </x:c>
      <x:c r="L7" s="8" t="str">
        <x:v>По 1 в каждый ШС.</x:v>
      </x:c>
    </x:row>
    <x:row r="8" ht="31" hidden="0" customHeight="1">
      <x:c r="A8" s="8" t="n">
        <x:v>4</x:v>
      </x:c>
      <x:c r="B8" s="8" t="str">
        <x:v>M2</x:v>
      </x:c>
      <x:c r="C8" s="8" t="str">
        <x:v>Фильтр-вентилятор 230 В AC, 200 м³/ч, IP54</x:v>
      </x:c>
      <x:c r="D8" s="8" t="str">
        <x:v>MTK-FFNT200-200</x:v>
      </x:c>
      <x:c r="E8" s="8" t="str">
        <x:v>MEYERTEC</x:v>
      </x:c>
      <x:c r="F8" s="10" t="n">
        <x:v>1</x:v>
      </x:c>
      <x:c r="G8" s="10" t="n">
        <x:f>F8*2</x:f>
        <x:v>2</x:v>
      </x:c>
      <x:c r="H8" s="10" t="n">
        <x:v>2</x:v>
      </x:c>
      <x:c r="I8" s="10" t="n">
        <x:f>H8-G8</x:f>
        <x:v>0</x:v>
      </x:c>
      <x:c r="J8" s="8" t="str">
        <x:v>шт.</x:v>
      </x:c>
      <x:c r="K8" s="8" t="str">
        <x:v>ШС1</x:v>
      </x:c>
      <x:c r="L8" s="8" t="str">
        <x:v>По 1 в каждый ШС.</x:v>
      </x:c>
    </x:row>
    <x:row r="9" ht="31" hidden="0" customHeight="1">
      <x:c r="A9" s="8" t="n">
        <x:v>5</x:v>
      </x:c>
      <x:c r="B9" s="8" t="str">
        <x:v>EF1</x:v>
      </x:c>
      <x:c r="C9" s="8" t="str">
        <x:v>Выходной фильтр 200×200 мм, IP54</x:v>
      </x:c>
      <x:c r="D9" s="8" t="str">
        <x:v>MTK-EFNT200</x:v>
      </x:c>
      <x:c r="E9" s="8" t="str">
        <x:v>MEYERTEC</x:v>
      </x:c>
      <x:c r="F9" s="10" t="n">
        <x:v>1</x:v>
      </x:c>
      <x:c r="G9" s="10" t="n">
        <x:f>F9*2</x:f>
        <x:v>2</x:v>
      </x:c>
      <x:c r="H9" s="10" t="n">
        <x:v>2</x:v>
      </x:c>
      <x:c r="I9" s="10" t="n">
        <x:f>H9-G9</x:f>
        <x:v>0</x:v>
      </x:c>
      <x:c r="J9" s="8" t="str">
        <x:v>шт.</x:v>
      </x:c>
      <x:c r="K9" s="8" t="str">
        <x:v>ШС1</x:v>
      </x:c>
      <x:c r="L9" s="8" t="str">
        <x:v>По 1 в каждый ШС.</x:v>
      </x:c>
    </x:row>
    <x:row r="10" ht="31" hidden="0" customHeight="1">
      <x:c r="A10" s="8" t="n">
        <x:v>6</x:v>
      </x:c>
      <x:c r="B10" s="8" t="str">
        <x:v>SK1, SK2</x:v>
      </x:c>
      <x:c r="C10" s="8" t="str">
        <x:v>Термостат замыкающий, 0…60 °C</x:v>
      </x:c>
      <x:c r="D10" s="8" t="str">
        <x:v>MTK-CT0</x:v>
      </x:c>
      <x:c r="E10" s="8" t="str">
        <x:v>MEYERTEC</x:v>
      </x:c>
      <x:c r="F10" s="10" t="n">
        <x:v>2</x:v>
      </x:c>
      <x:c r="G10" s="10" t="n">
        <x:f>F10*2</x:f>
        <x:v>4</x:v>
      </x:c>
      <x:c r="H10" s="10" t="n">
        <x:v>4</x:v>
      </x:c>
      <x:c r="I10" s="10" t="n">
        <x:f>H10-G10</x:f>
        <x:v>0</x:v>
      </x:c>
      <x:c r="J10" s="8" t="str">
        <x:v>шт.</x:v>
      </x:c>
      <x:c r="K10" s="8" t="str">
        <x:v>ШС1</x:v>
      </x:c>
      <x:c r="L10" s="8" t="str">
        <x:v>По 2 на ШС: вентиляция и сигнал перегрева.</x:v>
      </x:c>
    </x:row>
    <x:row r="11" ht="31" hidden="0" customHeight="1">
      <x:c r="A11" s="8" t="n">
        <x:v>7</x:v>
      </x:c>
      <x:c r="B11" s="8" t="str">
        <x:v>Материалы / запас</x:v>
      </x:c>
      <x:c r="C11" s="8" t="str">
        <x:v>Сменный фильтрующий элемент 171×171×15 мм, упаковка 5 шт.</x:v>
      </x:c>
      <x:c r="D11" s="8" t="str">
        <x:v>MTK-FMNT200</x:v>
      </x:c>
      <x:c r="E11" s="8" t="str">
        <x:v>MEYERTEC</x:v>
      </x:c>
      <x:c r="F11" s="10"/>
      <x:c r="G11" s="10"/>
      <x:c r="H11" s="10" t="n">
        <x:v>1</x:v>
      </x:c>
      <x:c r="I11" s="10"/>
      <x:c r="J11" s="8" t="str">
        <x:v>уп.</x:v>
      </x:c>
      <x:c r="K11" s="8" t="str">
        <x:v>Общий комплект</x:v>
      </x:c>
      <x:c r="L11" s="8" t="str">
        <x:v>ЗИП для обоих ШС.</x:v>
      </x:c>
    </x:row>
    <x:row r="12" ht="31" hidden="0" customHeight="1">
      <x:c r="A12" s="8" t="n">
        <x:v>8</x:v>
      </x:c>
      <x:c r="B12" s="8" t="str">
        <x:v>QS1</x:v>
      </x:c>
      <x:c r="C12" s="8" t="str">
        <x:v>Главный выключатель кулачковый, 3P, 63 А, «0–1»</x:v>
      </x:c>
      <x:c r="D12" s="8" t="str">
        <x:v>425065 / LW32-63/C03/2</x:v>
      </x:c>
      <x:c r="E12" s="8" t="str">
        <x:v>CHINT</x:v>
      </x:c>
      <x:c r="F12" s="10" t="n">
        <x:v>1</x:v>
      </x:c>
      <x:c r="G12" s="10" t="n">
        <x:f>F12*2</x:f>
        <x:v>2</x:v>
      </x:c>
      <x:c r="H12" s="10" t="n">
        <x:v>2</x:v>
      </x:c>
      <x:c r="I12" s="10" t="n">
        <x:f>H12-G12</x:f>
        <x:v>0</x:v>
      </x:c>
      <x:c r="J12" s="8" t="str">
        <x:v>шт.</x:v>
      </x:c>
      <x:c r="K12" s="8" t="str">
        <x:v>ШС1</x:v>
      </x:c>
      <x:c r="L12" s="8" t="str">
        <x:v>По 1 на ШС; монтаж на боковой стенке.</x:v>
      </x:c>
    </x:row>
    <x:row r="13" ht="31" hidden="0" customHeight="1">
      <x:c r="A13" s="8" t="n">
        <x:v>9</x:v>
      </x:c>
      <x:c r="B13" s="8" t="str">
        <x:v>QF0</x:v>
      </x:c>
      <x:c r="C13" s="8" t="str">
        <x:v>Автоматический выключатель 3P, C40, 6 кА</x:v>
      </x:c>
      <x:c r="D13" s="8" t="str">
        <x:v>NB1-63 3P C40 6kA</x:v>
      </x:c>
      <x:c r="E13" s="8" t="str">
        <x:v>CHINT</x:v>
      </x:c>
      <x:c r="F13" s="10" t="n">
        <x:v>1</x:v>
      </x:c>
      <x:c r="G13" s="10" t="n">
        <x:f>F13*2</x:f>
        <x:v>2</x:v>
      </x:c>
      <x:c r="H13" s="10" t="n">
        <x:v>2</x:v>
      </x:c>
      <x:c r="I13" s="10" t="n">
        <x:f>H13-G13</x:f>
        <x:v>0</x:v>
      </x:c>
      <x:c r="J13" s="8" t="str">
        <x:v>шт.</x:v>
      </x:c>
      <x:c r="K13" s="8" t="str">
        <x:v>ШС1</x:v>
      </x:c>
      <x:c r="L13" s="8" t="str">
        <x:v>QF0, вводная защита ШС.</x:v>
      </x:c>
    </x:row>
    <x:row r="14" ht="31" hidden="0" customHeight="1">
      <x:c r="A14" s="8" t="n">
        <x:v>10</x:v>
      </x:c>
      <x:c r="B14" s="8" t="str">
        <x:v>QF1</x:v>
      </x:c>
      <x:c r="C14" s="8" t="str">
        <x:v>Автоматический выключатель 3P, C32, 6 кА</x:v>
      </x:c>
      <x:c r="D14" s="8" t="str">
        <x:v>NB1-63 3P C32 6kA</x:v>
      </x:c>
      <x:c r="E14" s="8" t="str">
        <x:v>CHINT</x:v>
      </x:c>
      <x:c r="F14" s="10" t="n">
        <x:v>1</x:v>
      </x:c>
      <x:c r="G14" s="10" t="n">
        <x:f>F14*2</x:f>
        <x:v>2</x:v>
      </x:c>
      <x:c r="H14" s="10" t="n">
        <x:v>2</x:v>
      </x:c>
      <x:c r="I14" s="10" t="n">
        <x:f>H14-G14</x:f>
        <x:v>0</x:v>
      </x:c>
      <x:c r="J14" s="8" t="str">
        <x:v>шт.</x:v>
      </x:c>
      <x:c r="K14" s="8" t="str">
        <x:v>ШС1</x:v>
      </x:c>
      <x:c r="L14" s="8" t="str">
        <x:v>QF1, защита ПЧ.</x:v>
      </x:c>
    </x:row>
    <x:row r="15" ht="31" hidden="0" customHeight="1">
      <x:c r="A15" s="8" t="n">
        <x:v>11</x:v>
      </x:c>
      <x:c r="B15" s="8" t="str">
        <x:v>QF2</x:v>
      </x:c>
      <x:c r="C15" s="8" t="str">
        <x:v>Автоматический выключатель 2P, C10, 6 кА</x:v>
      </x:c>
      <x:c r="D15" s="8" t="str">
        <x:v>NB1-63 2P C10 6kA</x:v>
      </x:c>
      <x:c r="E15" s="8" t="str">
        <x:v>CHINT</x:v>
      </x:c>
      <x:c r="F15" s="10" t="n">
        <x:v>1</x:v>
      </x:c>
      <x:c r="G15" s="10" t="n">
        <x:f>F15*2</x:f>
        <x:v>2</x:v>
      </x:c>
      <x:c r="H15" s="10" t="n">
        <x:v>2</x:v>
      </x:c>
      <x:c r="I15" s="10" t="n">
        <x:f>H15-G15</x:f>
        <x:v>0</x:v>
      </x:c>
      <x:c r="J15" s="8" t="str">
        <x:v>шт.</x:v>
      </x:c>
      <x:c r="K15" s="8" t="str">
        <x:v>ШС1</x:v>
      </x:c>
      <x:c r="L15" s="8" t="str">
        <x:v>QF2, питание БП 24 В.</x:v>
      </x:c>
    </x:row>
    <x:row r="16" ht="31" hidden="0" customHeight="1">
      <x:c r="A16" s="8" t="n">
        <x:v>12</x:v>
      </x:c>
      <x:c r="B16" s="8" t="str">
        <x:v>QF3</x:v>
      </x:c>
      <x:c r="C16" s="8" t="str">
        <x:v>Автоматический выключатель 2P, C6, 6 кА</x:v>
      </x:c>
      <x:c r="D16" s="8" t="str">
        <x:v>NB1-63 2P C6 6kA</x:v>
      </x:c>
      <x:c r="E16" s="8" t="str">
        <x:v>CHINT</x:v>
      </x:c>
      <x:c r="F16" s="10" t="n">
        <x:v>1</x:v>
      </x:c>
      <x:c r="G16" s="10" t="n">
        <x:f>F16*2</x:f>
        <x:v>2</x:v>
      </x:c>
      <x:c r="H16" s="10" t="n">
        <x:v>2</x:v>
      </x:c>
      <x:c r="I16" s="10" t="n">
        <x:f>H16-G16</x:f>
        <x:v>0</x:v>
      </x:c>
      <x:c r="J16" s="8" t="str">
        <x:v>шт.</x:v>
      </x:c>
      <x:c r="K16" s="8" t="str">
        <x:v>ШС1</x:v>
      </x:c>
      <x:c r="L16" s="8" t="str">
        <x:v>QF3, питание AS-PS02.</x:v>
      </x:c>
    </x:row>
    <x:row r="17" ht="31" hidden="0" customHeight="1">
      <x:c r="A17" s="8" t="n">
        <x:v>13</x:v>
      </x:c>
      <x:c r="B17" s="8" t="str">
        <x:v>QF4</x:v>
      </x:c>
      <x:c r="C17" s="8" t="str">
        <x:v>Автоматический выключатель 2P, C2, 6 кА</x:v>
      </x:c>
      <x:c r="D17" s="8" t="str">
        <x:v>NB1-63 2P C2 6kA</x:v>
      </x:c>
      <x:c r="E17" s="8" t="str">
        <x:v>CHINT</x:v>
      </x:c>
      <x:c r="F17" s="10" t="n">
        <x:v>1</x:v>
      </x:c>
      <x:c r="G17" s="10" t="n">
        <x:f>F17*2</x:f>
        <x:v>2</x:v>
      </x:c>
      <x:c r="H17" s="10" t="n">
        <x:v>2</x:v>
      </x:c>
      <x:c r="I17" s="10" t="n">
        <x:f>H17-G17</x:f>
        <x:v>0</x:v>
      </x:c>
      <x:c r="J17" s="8" t="str">
        <x:v>шт.</x:v>
      </x:c>
      <x:c r="K17" s="8" t="str">
        <x:v>ШС1</x:v>
      </x:c>
      <x:c r="L17" s="8" t="str">
        <x:v>QF4, свет и вентиляция.</x:v>
      </x:c>
    </x:row>
    <x:row r="18" ht="31" hidden="0" customHeight="1">
      <x:c r="A18" s="8" t="n">
        <x:v>14</x:v>
      </x:c>
      <x:c r="B18" s="8" t="str">
        <x:v>QFD1</x:v>
      </x:c>
      <x:c r="C18" s="8" t="str">
        <x:v>Дифавтомат 1P+N, C6, 30 мА, тип A, 6 кА</x:v>
      </x:c>
      <x:c r="D18" s="8" t="str">
        <x:v>586787 / NB1L-20</x:v>
      </x:c>
      <x:c r="E18" s="8" t="str">
        <x:v>CHINT</x:v>
      </x:c>
      <x:c r="F18" s="10" t="n">
        <x:v>1</x:v>
      </x:c>
      <x:c r="G18" s="10" t="n">
        <x:f>F18*2</x:f>
        <x:v>2</x:v>
      </x:c>
      <x:c r="H18" s="10" t="n">
        <x:v>2</x:v>
      </x:c>
      <x:c r="I18" s="10" t="n">
        <x:f>H18-G18</x:f>
        <x:v>0</x:v>
      </x:c>
      <x:c r="J18" s="8" t="str">
        <x:v>шт.</x:v>
      </x:c>
      <x:c r="K18" s="8" t="str">
        <x:v>ШС1</x:v>
      </x:c>
      <x:c r="L18" s="8" t="str">
        <x:v>Защита сервисной розетки; по 1 на ШС.</x:v>
      </x:c>
    </x:row>
    <x:row r="19" ht="31" hidden="0" customHeight="1">
      <x:c r="A19" s="8" t="n">
        <x:v>15</x:v>
      </x:c>
      <x:c r="B19" s="8" t="str">
        <x:v>KM1</x:v>
      </x:c>
      <x:c r="C19" s="8" t="str">
        <x:v>Контактор 3P, 32 А AC-3, катушка 24 В DC, 1 НО</x:v>
      </x:c>
      <x:c r="D19" s="8" t="str">
        <x:v>222130 / NC1-3210Z</x:v>
      </x:c>
      <x:c r="E19" s="8" t="str">
        <x:v>CHINT</x:v>
      </x:c>
      <x:c r="F19" s="10" t="n">
        <x:v>1</x:v>
      </x:c>
      <x:c r="G19" s="10" t="n">
        <x:f>F19*2</x:f>
        <x:v>2</x:v>
      </x:c>
      <x:c r="H19" s="10" t="n">
        <x:v>2</x:v>
      </x:c>
      <x:c r="I19" s="10" t="n">
        <x:f>H19-G19</x:f>
        <x:v>0</x:v>
      </x:c>
      <x:c r="J19" s="8" t="str">
        <x:v>шт.</x:v>
      </x:c>
      <x:c r="K19" s="8" t="str">
        <x:v>ШС1</x:v>
      </x:c>
      <x:c r="L19" s="8" t="str">
        <x:v>KM1, по 1 на ШС.</x:v>
      </x:c>
    </x:row>
    <x:row r="20" ht="31" hidden="0" customHeight="1">
      <x:c r="A20" s="8" t="n">
        <x:v>16</x:v>
      </x:c>
      <x:c r="B20" s="8" t="str">
        <x:v>Z1</x:v>
      </x:c>
      <x:c r="C20" s="8" t="str">
        <x:v>Ограничитель перенапряжения катушки 24–48 В AC/DC</x:v>
      </x:c>
      <x:c r="D20" s="8" t="str">
        <x:v>228521 / SR2-A</x:v>
      </x:c>
      <x:c r="E20" s="8" t="str">
        <x:v>CHINT</x:v>
      </x:c>
      <x:c r="F20" s="10" t="n">
        <x:v>1</x:v>
      </x:c>
      <x:c r="G20" s="10" t="n">
        <x:f>F20*2</x:f>
        <x:v>2</x:v>
      </x:c>
      <x:c r="H20" s="10" t="n">
        <x:v>2</x:v>
      </x:c>
      <x:c r="I20" s="10" t="n">
        <x:f>H20-G20</x:f>
        <x:v>0</x:v>
      </x:c>
      <x:c r="J20" s="8" t="str">
        <x:v>шт.</x:v>
      </x:c>
      <x:c r="K20" s="8" t="str">
        <x:v>ШС1</x:v>
      </x:c>
      <x:c r="L20" s="8" t="str">
        <x:v>По 1 на катушку KM1.</x:v>
      </x:c>
    </x:row>
    <x:row r="21" ht="31" hidden="0" customHeight="1">
      <x:c r="A21" s="8" t="n">
        <x:v>17</x:v>
      </x:c>
      <x:c r="B21" s="8" t="str">
        <x:v>FV1</x:v>
      </x:c>
      <x:c r="C21" s="8" t="str">
        <x:v>УЗИП T2, 4P (4+0), In 20 / Imax 40 кА</x:v>
      </x:c>
      <x:c r="D21" s="8" t="str">
        <x:v>MOP20-4-C</x:v>
      </x:c>
      <x:c r="E21" s="8" t="str">
        <x:v>IEK</x:v>
      </x:c>
      <x:c r="F21" s="10" t="n">
        <x:v>1</x:v>
      </x:c>
      <x:c r="G21" s="10" t="n">
        <x:f>F21*2</x:f>
        <x:v>2</x:v>
      </x:c>
      <x:c r="H21" s="10" t="n">
        <x:v>2</x:v>
      </x:c>
      <x:c r="I21" s="10" t="n">
        <x:f>H21-G21</x:f>
        <x:v>0</x:v>
      </x:c>
      <x:c r="J21" s="8" t="str">
        <x:v>шт.</x:v>
      </x:c>
      <x:c r="K21" s="8" t="str">
        <x:v>ШС1</x:v>
      </x:c>
      <x:c r="L21" s="8" t="str">
        <x:v>FV1, по 1 на ШС.</x:v>
      </x:c>
    </x:row>
    <x:row r="22" ht="31.399999618530273" hidden="0" customHeight="1">
      <x:c r="A22" s="8" t="n">
        <x:v>18</x:v>
      </x:c>
      <x:c r="B22" s="8" t="str">
        <x:v>XL1–XL3</x:v>
      </x:c>
      <x:c r="C22" s="8" t="str">
        <x:v>Распределительный блок 160 А на DIN-рейку</x:v>
      </x:c>
      <x:c r="D22" s="8" t="str">
        <x:v>RBD-160</x:v>
      </x:c>
      <x:c r="E22" s="8" t="str">
        <x:v>IEK</x:v>
      </x:c>
      <x:c r="F22" s="10" t="n">
        <x:v>3</x:v>
      </x:c>
      <x:c r="G22" s="10" t="n">
        <x:f>F22*2</x:f>
        <x:v>6</x:v>
      </x:c>
      <x:c r="H22" s="10" t="n">
        <x:v>6</x:v>
      </x:c>
      <x:c r="I22" s="10" t="n">
        <x:f>H22-G22</x:f>
        <x:v>0</x:v>
      </x:c>
      <x:c r="J22" s="8" t="str">
        <x:v>шт.</x:v>
      </x:c>
      <x:c r="K22" s="8" t="str">
        <x:v>ШС1</x:v>
      </x:c>
      <x:c r="L22" s="8" t="str">
        <x:v>XL1–XL3: по 3 на ШС. Соединения Cu 6 мм². Диапазон выбранных зажимов проверить по паспорту поставленного исполнения.</x:v>
      </x:c>
    </x:row>
    <x:row r="23" ht="31" hidden="0" customHeight="1">
      <x:c r="A23" s="8" t="n">
        <x:v>19</x:v>
      </x:c>
      <x:c r="B23" s="8" t="str">
        <x:v>UZ1</x:v>
      </x:c>
      <x:c r="C23" s="8" t="str">
        <x:v>Преобразователь частоты 3×380–480 В, 5,5 кВт, 13 А HD</x:v>
      </x:c>
      <x:c r="D23" s="8" t="str">
        <x:v>VFD13AMS43AFSAA</x:v>
      </x:c>
      <x:c r="E23" s="8" t="str">
        <x:v>Delta</x:v>
      </x:c>
      <x:c r="F23" s="10" t="n">
        <x:v>1</x:v>
      </x:c>
      <x:c r="G23" s="10" t="n">
        <x:f>F23*2</x:f>
        <x:v>2</x:v>
      </x:c>
      <x:c r="H23" s="10" t="n">
        <x:v>2</x:v>
      </x:c>
      <x:c r="I23" s="10" t="n">
        <x:f>H23-G23</x:f>
        <x:v>0</x:v>
      </x:c>
      <x:c r="J23" s="8" t="str">
        <x:v>шт.</x:v>
      </x:c>
      <x:c r="K23" s="8" t="str">
        <x:v>ШС1</x:v>
      </x:c>
      <x:c r="L23" s="8" t="str">
        <x:v>По 1 на насос каждой позиции.</x:v>
      </x:c>
    </x:row>
    <x:row r="24" ht="31" hidden="0" customHeight="1">
      <x:c r="A24" s="8" t="n">
        <x:v>20</x:v>
      </x:c>
      <x:c r="B24" s="8" t="str">
        <x:v>G2</x:v>
      </x:c>
      <x:c r="C24" s="8" t="str">
        <x:v>Блок питания 230 В AC / 24 В DC, 10 А, 240 Вт</x:v>
      </x:c>
      <x:c r="D24" s="8" t="str">
        <x:v>DRL-24V240W1EN</x:v>
      </x:c>
      <x:c r="E24" s="8" t="str">
        <x:v>Delta</x:v>
      </x:c>
      <x:c r="F24" s="10" t="n">
        <x:v>1</x:v>
      </x:c>
      <x:c r="G24" s="10" t="n">
        <x:f>F24*2</x:f>
        <x:v>2</x:v>
      </x:c>
      <x:c r="H24" s="10" t="n">
        <x:v>3</x:v>
      </x:c>
      <x:c r="I24" s="10" t="n">
        <x:f>H24-G24</x:f>
        <x:v>1</x:v>
      </x:c>
      <x:c r="J24" s="8" t="str">
        <x:v>шт.</x:v>
      </x:c>
      <x:c r="K24" s="8" t="str">
        <x:v>ШС1</x:v>
      </x:c>
      <x:c r="L24" s="8" t="str">
        <x:v>G2: 2 рабочих + 1 общий ЗИП.</x:v>
      </x:c>
    </x:row>
    <x:row r="25" ht="31" hidden="0" customHeight="1">
      <x:c r="A25" s="8" t="n">
        <x:v>21</x:v>
      </x:c>
      <x:c r="B25" s="8" t="str">
        <x:v>A1</x:v>
      </x:c>
      <x:c r="C25" s="8" t="str">
        <x:v>ПЛК, 8 DI / 12 DO NPN</x:v>
      </x:c>
      <x:c r="D25" s="8" t="str">
        <x:v>AS320T-B</x:v>
      </x:c>
      <x:c r="E25" s="8" t="str">
        <x:v>Delta</x:v>
      </x:c>
      <x:c r="F25" s="10" t="n">
        <x:v>1</x:v>
      </x:c>
      <x:c r="G25" s="10" t="n">
        <x:f>F25*2</x:f>
        <x:v>2</x:v>
      </x:c>
      <x:c r="H25" s="10" t="n">
        <x:v>3</x:v>
      </x:c>
      <x:c r="I25" s="10" t="n">
        <x:f>H25-G25</x:f>
        <x:v>1</x:v>
      </x:c>
      <x:c r="J25" s="8" t="str">
        <x:v>шт.</x:v>
      </x:c>
      <x:c r="K25" s="8" t="str">
        <x:v>ШС1</x:v>
      </x:c>
      <x:c r="L25" s="8" t="str">
        <x:v>2 рабочих + 1 общий ЗИП.</x:v>
      </x:c>
    </x:row>
    <x:row r="26" ht="31" hidden="0" customHeight="1">
      <x:c r="A26" s="8" t="n">
        <x:v>22</x:v>
      </x:c>
      <x:c r="B26" s="8" t="str">
        <x:v>G1</x:v>
      </x:c>
      <x:c r="C26" s="8" t="str">
        <x:v>Блок питания внутренней шины ПЛК, 100–240 В AC</x:v>
      </x:c>
      <x:c r="D26" s="8" t="str">
        <x:v>AS-PS02</x:v>
      </x:c>
      <x:c r="E26" s="8" t="str">
        <x:v>Delta</x:v>
      </x:c>
      <x:c r="F26" s="10" t="n">
        <x:v>1</x:v>
      </x:c>
      <x:c r="G26" s="10" t="n">
        <x:f>F26*2</x:f>
        <x:v>2</x:v>
      </x:c>
      <x:c r="H26" s="10" t="n">
        <x:v>3</x:v>
      </x:c>
      <x:c r="I26" s="10" t="n">
        <x:f>H26-G26</x:f>
        <x:v>1</x:v>
      </x:c>
      <x:c r="J26" s="8" t="str">
        <x:v>шт.</x:v>
      </x:c>
      <x:c r="K26" s="8" t="str">
        <x:v>ШС1</x:v>
      </x:c>
      <x:c r="L26" s="8" t="str">
        <x:v>2 рабочих + 1 общий ЗИП.</x:v>
      </x:c>
    </x:row>
    <x:row r="27" ht="31" hidden="0" customHeight="1">
      <x:c r="A27" s="8" t="n">
        <x:v>23</x:v>
      </x:c>
      <x:c r="B27" s="8" t="str">
        <x:v>A2</x:v>
      </x:c>
      <x:c r="C27" s="8" t="str">
        <x:v>Модуль 16 дискретных входов, 24 В DC</x:v>
      </x:c>
      <x:c r="D27" s="8" t="str">
        <x:v>AS16AM10N-A</x:v>
      </x:c>
      <x:c r="E27" s="8" t="str">
        <x:v>Delta</x:v>
      </x:c>
      <x:c r="F27" s="10" t="n">
        <x:v>1</x:v>
      </x:c>
      <x:c r="G27" s="10" t="n">
        <x:f>F27*2</x:f>
        <x:v>2</x:v>
      </x:c>
      <x:c r="H27" s="10" t="n">
        <x:v>3</x:v>
      </x:c>
      <x:c r="I27" s="10" t="n">
        <x:f>H27-G27</x:f>
        <x:v>1</x:v>
      </x:c>
      <x:c r="J27" s="8" t="str">
        <x:v>шт.</x:v>
      </x:c>
      <x:c r="K27" s="8" t="str">
        <x:v>ШС1</x:v>
      </x:c>
      <x:c r="L27" s="8" t="str">
        <x:v>2 рабочих + 1 общий ЗИП.</x:v>
      </x:c>
    </x:row>
    <x:row r="28" ht="31.399999618530273" hidden="0" customHeight="1">
      <x:c r="A28" s="8" t="n">
        <x:v>24</x:v>
      </x:c>
      <x:c r="B28" s="8" t="str">
        <x:v>A3</x:v>
      </x:c>
      <x:c r="C28" s="8" t="str">
        <x:v>Комбинированный модуль 4 AI / 2 AO</x:v>
      </x:c>
      <x:c r="D28" s="8" t="str">
        <x:v>AS06XA-A</x:v>
      </x:c>
      <x:c r="E28" s="8" t="str">
        <x:v>Delta</x:v>
      </x:c>
      <x:c r="F28" s="10" t="n">
        <x:v>1</x:v>
      </x:c>
      <x:c r="G28" s="10" t="n">
        <x:f>F28*2</x:f>
        <x:v>2</x:v>
      </x:c>
      <x:c r="H28" s="10" t="n">
        <x:v>3</x:v>
      </x:c>
      <x:c r="I28" s="10" t="n">
        <x:f>H28-G28</x:f>
        <x:v>1</x:v>
      </x:c>
      <x:c r="J28" s="8" t="str">
        <x:v>шт.</x:v>
      </x:c>
      <x:c r="K28" s="8" t="str">
        <x:v>ШС1</x:v>
      </x:c>
      <x:c r="L28" s="8" t="str">
        <x:v>A3: 2 рабочих + 1 общий ЗИП. Короткие неподвижные подключения — провод 24 AWG, 3050/1 WH005. Зачистка 8–10 мм по инструкции модуля.</x:v>
      </x:c>
    </x:row>
    <x:row r="29" ht="31" hidden="0" customHeight="1">
      <x:c r="A29" s="8" t="n">
        <x:v>25</x:v>
      </x:c>
      <x:c r="B29" s="8" t="str">
        <x:v>A4</x:v>
      </x:c>
      <x:c r="C29" s="8" t="str">
        <x:v>Модуль 8 DI + 8 DO NPN</x:v>
      </x:c>
      <x:c r="D29" s="8" t="str">
        <x:v>AS16AP11T-A</x:v>
      </x:c>
      <x:c r="E29" s="8" t="str">
        <x:v>Delta</x:v>
      </x:c>
      <x:c r="F29" s="10" t="n">
        <x:v>1</x:v>
      </x:c>
      <x:c r="G29" s="10" t="n">
        <x:f>F29*2</x:f>
        <x:v>2</x:v>
      </x:c>
      <x:c r="H29" s="10" t="n">
        <x:v>3</x:v>
      </x:c>
      <x:c r="I29" s="10" t="n">
        <x:f>H29-G29</x:f>
        <x:v>1</x:v>
      </x:c>
      <x:c r="J29" s="8" t="str">
        <x:v>шт.</x:v>
      </x:c>
      <x:c r="K29" s="8" t="str">
        <x:v>ШС1</x:v>
      </x:c>
      <x:c r="L29" s="8" t="str">
        <x:v>2 рабочих + 1 общий ЗИП.</x:v>
      </x:c>
    </x:row>
    <x:row r="30" ht="31" hidden="0" customHeight="1">
      <x:c r="A30" s="8" t="n">
        <x:v>26</x:v>
      </x:c>
      <x:c r="B30" s="8" t="str">
        <x:v>A7</x:v>
      </x:c>
      <x:c r="C30" s="8" t="str">
        <x:v>Панель оператора 7″, Ethernet, USB-A</x:v>
      </x:c>
      <x:c r="D30" s="8" t="str">
        <x:v>OTP210-070E</x:v>
      </x:c>
      <x:c r="E30" s="8" t="str">
        <x:v>OptimusDrive</x:v>
      </x:c>
      <x:c r="F30" s="10" t="n">
        <x:v>1</x:v>
      </x:c>
      <x:c r="G30" s="10" t="n">
        <x:f>F30*2</x:f>
        <x:v>2</x:v>
      </x:c>
      <x:c r="H30" s="10" t="n">
        <x:v>3</x:v>
      </x:c>
      <x:c r="I30" s="10" t="n">
        <x:f>H30-G30</x:f>
        <x:v>1</x:v>
      </x:c>
      <x:c r="J30" s="8" t="str">
        <x:v>шт.</x:v>
      </x:c>
      <x:c r="K30" s="8" t="str">
        <x:v>ШО1</x:v>
      </x:c>
      <x:c r="L30" s="8" t="str">
        <x:v>2 рабочих + 1 общий ЗИП.</x:v>
      </x:c>
    </x:row>
    <x:row r="31" ht="31" hidden="0" customHeight="1">
      <x:c r="A31" s="8" t="n">
        <x:v>27</x:v>
      </x:c>
      <x:c r="B31" s="8" t="str">
        <x:v>A8</x:v>
      </x:c>
      <x:c r="C31" s="8" t="str">
        <x:v>Коммутатор Ethernet, 5 портов, 100 Мбит/с</x:v>
      </x:c>
      <x:c r="D31" s="8" t="str">
        <x:v>ODS-005F</x:v>
      </x:c>
      <x:c r="E31" s="8" t="str">
        <x:v>OptimusDrive</x:v>
      </x:c>
      <x:c r="F31" s="10" t="n">
        <x:v>1</x:v>
      </x:c>
      <x:c r="G31" s="10" t="n">
        <x:f>F31*2</x:f>
        <x:v>2</x:v>
      </x:c>
      <x:c r="H31" s="10" t="n">
        <x:v>2</x:v>
      </x:c>
      <x:c r="I31" s="10" t="n">
        <x:f>H31-G31</x:f>
        <x:v>0</x:v>
      </x:c>
      <x:c r="J31" s="8" t="str">
        <x:v>шт.</x:v>
      </x:c>
      <x:c r="K31" s="8" t="str">
        <x:v>ШС1</x:v>
      </x:c>
      <x:c r="L31" s="8" t="str">
        <x:v>По 1 на ШС.</x:v>
      </x:c>
    </x:row>
    <x:row r="32" ht="31" hidden="0" customHeight="1">
      <x:c r="A32" s="8" t="n">
        <x:v>28</x:v>
      </x:c>
      <x:c r="B32" s="8" t="str">
        <x:v>A9</x:v>
      </x:c>
      <x:c r="C32" s="8" t="str">
        <x:v>Повторитель RS-485 с гальванической изоляцией</x:v>
      </x:c>
      <x:c r="D32" s="8" t="str">
        <x:v>АС5</x:v>
      </x:c>
      <x:c r="E32" s="8" t="str">
        <x:v>ОВЕН</x:v>
      </x:c>
      <x:c r="F32" s="10" t="n">
        <x:v>1</x:v>
      </x:c>
      <x:c r="G32" s="10" t="n">
        <x:f>F32*2</x:f>
        <x:v>2</x:v>
      </x:c>
      <x:c r="H32" s="10" t="n">
        <x:v>2</x:v>
      </x:c>
      <x:c r="I32" s="10" t="n">
        <x:f>H32-G32</x:f>
        <x:v>0</x:v>
      </x:c>
      <x:c r="J32" s="8" t="str">
        <x:v>шт.</x:v>
      </x:c>
      <x:c r="K32" s="8" t="str">
        <x:v>ШС1</x:v>
      </x:c>
      <x:c r="L32" s="8" t="str">
        <x:v>Развязка линии Modbus RTU с АСУ ТП заказчика; по 1 на ШС.</x:v>
      </x:c>
    </x:row>
    <x:row r="33" ht="31" hidden="0" customHeight="1">
      <x:c r="A33" s="8" t="n">
        <x:v>29</x:v>
      </x:c>
      <x:c r="B33" s="8" t="str">
        <x:v>KSR1</x:v>
      </x:c>
      <x:c r="C33" s="8" t="str">
        <x:v>Реле безопасности 24 В DC, 4 НО безопасных выхода</x:v>
      </x:c>
      <x:c r="D33" s="8" t="str">
        <x:v>G9SE-401 DC24</x:v>
      </x:c>
      <x:c r="E33" s="8" t="str">
        <x:v>OMRON</x:v>
      </x:c>
      <x:c r="F33" s="10" t="n">
        <x:v>1</x:v>
      </x:c>
      <x:c r="G33" s="10" t="n">
        <x:f>F33*2</x:f>
        <x:v>2</x:v>
      </x:c>
      <x:c r="H33" s="10" t="n">
        <x:v>2</x:v>
      </x:c>
      <x:c r="I33" s="10" t="n">
        <x:f>H33-G33</x:f>
        <x:v>0</x:v>
      </x:c>
      <x:c r="J33" s="8" t="str">
        <x:v>шт.</x:v>
      </x:c>
      <x:c r="K33" s="8" t="str">
        <x:v>ШС1</x:v>
      </x:c>
      <x:c r="L33" s="8" t="str">
        <x:v>KSR1, по 1 на ШС.</x:v>
      </x:c>
    </x:row>
    <x:row r="34" ht="31.399999618530273" hidden="0" customHeight="1">
      <x:c r="A34" s="8" t="n">
        <x:v>30</x:v>
      </x:c>
      <x:c r="B34" s="8" t="str">
        <x:v>KV1</x:v>
      </x:c>
      <x:c r="C34" s="8" t="str">
        <x:v>Реле контроля напряжения 24 В DC, 1 переключающий контакт</x:v>
      </x:c>
      <x:c r="D34" s="8" t="str">
        <x:v>РКН-1М-15 УХЛ4</x:v>
      </x:c>
      <x:c r="E34" s="8" t="str">
        <x:v>МЕАНДР</x:v>
      </x:c>
      <x:c r="F34" s="10" t="n">
        <x:v>1</x:v>
      </x:c>
      <x:c r="G34" s="10" t="n">
        <x:f>F34*2</x:f>
        <x:v>2</x:v>
      </x:c>
      <x:c r="H34" s="10" t="n">
        <x:v>2</x:v>
      </x:c>
      <x:c r="I34" s="10" t="n">
        <x:f>H34-G34</x:f>
        <x:v>0</x:v>
      </x:c>
      <x:c r="J34" s="8" t="str">
        <x:v>шт.</x:v>
      </x:c>
      <x:c r="K34" s="8" t="str">
        <x:v>ШС1</x:v>
      </x:c>
      <x:c r="L34" s="8" t="str">
        <x:v>KV1: по 1 на ШС. Окно 22,8–25,2 В; задержка 0,5 с. Проверить уставки при наладке.</x:v>
      </x:c>
    </x:row>
    <x:row r="35" ht="31" hidden="0" customHeight="1">
      <x:c r="A35" s="8" t="n">
        <x:v>31</x:v>
      </x:c>
      <x:c r="B35" s="8" t="str">
        <x:v>K15</x:v>
      </x:c>
      <x:c r="C35" s="8" t="str">
        <x:v>Модуль реле общего сброса, 24 В DC</x:v>
      </x:c>
      <x:c r="D35" s="8" t="str">
        <x:v>38.51.7.024.5050</x:v>
      </x:c>
      <x:c r="E35" s="8" t="str">
        <x:v>Finder</x:v>
      </x:c>
      <x:c r="F35" s="10" t="n">
        <x:v>1</x:v>
      </x:c>
      <x:c r="G35" s="10" t="n">
        <x:f>F35*2</x:f>
        <x:v>2</x:v>
      </x:c>
      <x:c r="H35" s="10" t="n">
        <x:v>2</x:v>
      </x:c>
      <x:c r="I35" s="10" t="n">
        <x:f>H35-G35</x:f>
        <x:v>0</x:v>
      </x:c>
      <x:c r="J35" s="8" t="str">
        <x:v>шт.</x:v>
      </x:c>
      <x:c r="K35" s="8" t="str">
        <x:v>ШС1</x:v>
      </x:c>
      <x:c r="L35" s="8" t="str">
        <x:v>K15: по 1 на ШС. Модуль со своей колодкой, индикацией и защитой катушки.</x:v>
      </x:c>
    </x:row>
    <x:row r="36" ht="31.399999618530273" hidden="0" customHeight="1">
      <x:c r="A36" s="8" t="n">
        <x:v>32</x:v>
      </x:c>
      <x:c r="B36" s="8" t="str">
        <x:v>R1, R2</x:v>
      </x:c>
      <x:c r="C36" s="8" t="str">
        <x:v>Резистор согласования RS-485, 120 Ом ±1%, 0,5 Вт, выводной</x:v>
      </x:c>
      <x:c r="D36" s="8" t="str">
        <x:v>MFR50SFTE52-120R</x:v>
      </x:c>
      <x:c r="E36" s="8" t="str">
        <x:v>YAGEO</x:v>
      </x:c>
      <x:c r="F36" s="10" t="n">
        <x:v>2</x:v>
      </x:c>
      <x:c r="G36" s="10" t="n">
        <x:f>F36*2</x:f>
        <x:v>4</x:v>
      </x:c>
      <x:c r="H36" s="10" t="n">
        <x:v>4</x:v>
      </x:c>
      <x:c r="I36" s="10" t="n">
        <x:f>H36-G36</x:f>
        <x:v>0</x:v>
      </x:c>
      <x:c r="J36" s="8" t="str">
        <x:v>шт.</x:v>
      </x:c>
      <x:c r="K36" s="8" t="str">
        <x:v>ШС1</x:v>
      </x:c>
      <x:c r="L36" s="8" t="str">
        <x:v>R1, R2: по 2 на ШС. 4 рабочих. Встроенные резисторы АС5 учтены в самом устройстве.</x:v>
      </x:c>
    </x:row>
    <x:row r="37" ht="31" hidden="0" customHeight="1">
      <x:c r="A37" s="8" t="n">
        <x:v>33</x:v>
      </x:c>
      <x:c r="B37" s="8" t="str">
        <x:v>W3, W5</x:v>
      </x:c>
      <x:c r="C37" s="8" t="str">
        <x:v>Патч-корд Cat.5e F/UTP, RJ45, 1 м</x:v>
      </x:c>
      <x:c r="D37" s="8" t="str">
        <x:v>RN5EFU4510WH</x:v>
      </x:c>
      <x:c r="E37" s="8" t="str">
        <x:v>DKC</x:v>
      </x:c>
      <x:c r="F37" s="10" t="n">
        <x:v>2</x:v>
      </x:c>
      <x:c r="G37" s="10" t="n">
        <x:f>F37*2</x:f>
        <x:v>4</x:v>
      </x:c>
      <x:c r="H37" s="10" t="n">
        <x:v>4</x:v>
      </x:c>
      <x:c r="I37" s="10" t="n">
        <x:f>H37-G37</x:f>
        <x:v>0</x:v>
      </x:c>
      <x:c r="J37" s="8" t="str">
        <x:v>шт.</x:v>
      </x:c>
      <x:c r="K37" s="8" t="str">
        <x:v>ШС1 / ШО1</x:v>
      </x:c>
      <x:c r="L37" s="8" t="str">
        <x:v>По 1 в ШС и ШО каждой позиции.</x:v>
      </x:c>
    </x:row>
    <x:row r="38" ht="31" hidden="0" customHeight="1">
      <x:c r="A38" s="8" t="n">
        <x:v>34</x:v>
      </x:c>
      <x:c r="B38" s="8" t="str">
        <x:v>ШО1.XJ1</x:v>
      </x:c>
      <x:c r="C38" s="8" t="str">
        <x:v>Проходной соединитель RJ45–RJ45, Cat.6, экранированный</x:v>
      </x:c>
      <x:c r="D38" s="8" t="str">
        <x:v>RNK6FESL</x:v>
      </x:c>
      <x:c r="E38" s="8" t="str">
        <x:v>DKC</x:v>
      </x:c>
      <x:c r="F38" s="10" t="n">
        <x:v>1</x:v>
      </x:c>
      <x:c r="G38" s="10" t="n">
        <x:f>F38*2</x:f>
        <x:v>2</x:v>
      </x:c>
      <x:c r="H38" s="10" t="n">
        <x:v>2</x:v>
      </x:c>
      <x:c r="I38" s="10" t="n">
        <x:f>H38-G38</x:f>
        <x:v>0</x:v>
      </x:c>
      <x:c r="J38" s="8" t="str">
        <x:v>шт.</x:v>
      </x:c>
      <x:c r="K38" s="8" t="str">
        <x:v>ШО1</x:v>
      </x:c>
      <x:c r="L38" s="8" t="str">
        <x:v>XJ1, по 1 на ШО.</x:v>
      </x:c>
    </x:row>
    <x:row r="39" ht="31" hidden="0" customHeight="1">
      <x:c r="A39" s="8" t="n">
        <x:v>35</x:v>
      </x:c>
      <x:c r="B39" s="8" t="str">
        <x:v>ШО1.XJ1</x:v>
      </x:c>
      <x:c r="C39" s="8" t="str">
        <x:v>DIN-адаптер для Keystone RJ45</x:v>
      </x:c>
      <x:c r="D39" s="8" t="str">
        <x:v>RNW1DIN</x:v>
      </x:c>
      <x:c r="E39" s="8" t="str">
        <x:v>DKC</x:v>
      </x:c>
      <x:c r="F39" s="10" t="n">
        <x:v>1</x:v>
      </x:c>
      <x:c r="G39" s="10" t="n">
        <x:f>F39*2</x:f>
        <x:v>2</x:v>
      </x:c>
      <x:c r="H39" s="10" t="n">
        <x:v>2</x:v>
      </x:c>
      <x:c r="I39" s="10" t="n">
        <x:f>H39-G39</x:f>
        <x:v>0</x:v>
      </x:c>
      <x:c r="J39" s="8" t="str">
        <x:v>шт.</x:v>
      </x:c>
      <x:c r="K39" s="8" t="str">
        <x:v>ШО1</x:v>
      </x:c>
      <x:c r="L39" s="8" t="str">
        <x:v>Для RNK6FESL; по 1 на ШО.</x:v>
      </x:c>
    </x:row>
    <x:row r="40" ht="31" hidden="0" customHeight="1">
      <x:c r="A40" s="8" t="n">
        <x:v>36</x:v>
      </x:c>
      <x:c r="B40" s="8" t="str">
        <x:v>K1–K9</x:v>
      </x:c>
      <x:c r="C40" s="8" t="str">
        <x:v>Промежуточное реле 24 В DC, 2 CO, 12 А</x:v>
      </x:c>
      <x:c r="D40" s="8" t="str">
        <x:v>MR-203.D [M01]</x:v>
      </x:c>
      <x:c r="E40" s="8" t="str">
        <x:v>KIPPRIBOR</x:v>
      </x:c>
      <x:c r="F40" s="10" t="n">
        <x:v>9</x:v>
      </x:c>
      <x:c r="G40" s="10" t="n">
        <x:f>F40*2</x:f>
        <x:v>18</x:v>
      </x:c>
      <x:c r="H40" s="10" t="n">
        <x:v>22</x:v>
      </x:c>
      <x:c r="I40" s="10" t="n">
        <x:f>H40-G40</x:f>
        <x:v>4</x:v>
      </x:c>
      <x:c r="J40" s="8" t="str">
        <x:v>шт.</x:v>
      </x:c>
      <x:c r="K40" s="8" t="str">
        <x:v>ШС1</x:v>
      </x:c>
      <x:c r="L40" s="8" t="str">
        <x:v>K1–K9: по 9 на ШС. 18 рабочих + 4 ЗИП. K1 сохранить MR-203.D [M01].</x:v>
      </x:c>
    </x:row>
    <x:row r="41" ht="31" hidden="0" customHeight="1">
      <x:c r="A41" s="8" t="n">
        <x:v>37</x:v>
      </x:c>
      <x:c r="B41" s="8" t="str">
        <x:v>K1–K9 (колодки)</x:v>
      </x:c>
      <x:c r="C41" s="8" t="str">
        <x:v>Колодка реле MR, 2 CO, DIN</x:v>
      </x:c>
      <x:c r="D41" s="8" t="str">
        <x:v>PYF-022BE/2</x:v>
      </x:c>
      <x:c r="E41" s="8" t="str">
        <x:v>KIPPRIBOR</x:v>
      </x:c>
      <x:c r="F41" s="10" t="n">
        <x:v>9</x:v>
      </x:c>
      <x:c r="G41" s="10" t="n">
        <x:f>F41*2</x:f>
        <x:v>18</x:v>
      </x:c>
      <x:c r="H41" s="10" t="n">
        <x:v>22</x:v>
      </x:c>
      <x:c r="I41" s="10" t="n">
        <x:f>H41-G41</x:f>
        <x:v>4</x:v>
      </x:c>
      <x:c r="J41" s="8" t="str">
        <x:v>шт.</x:v>
      </x:c>
      <x:c r="K41" s="8" t="str">
        <x:v>ШС1</x:v>
      </x:c>
      <x:c r="L41" s="8" t="str">
        <x:v>Для K1–K9 MR-203.D: 18 рабочих + 4 ЗИП.</x:v>
      </x:c>
    </x:row>
    <x:row r="42" ht="31" hidden="0" customHeight="1">
      <x:c r="A42" s="8" t="n">
        <x:v>38</x:v>
      </x:c>
      <x:c r="B42" s="8" t="str">
        <x:v>K1–K9 (зажимы)</x:v>
      </x:c>
      <x:c r="C42" s="8" t="str">
        <x:v>Удерживающий зажим реле MR</x:v>
      </x:c>
      <x:c r="D42" s="8" t="str">
        <x:v>BS 2/25P</x:v>
      </x:c>
      <x:c r="E42" s="8" t="str">
        <x:v>KIPPRIBOR</x:v>
      </x:c>
      <x:c r="F42" s="10" t="n">
        <x:v>9</x:v>
      </x:c>
      <x:c r="G42" s="10" t="n">
        <x:f>F42*2</x:f>
        <x:v>18</x:v>
      </x:c>
      <x:c r="H42" s="10" t="n">
        <x:v>22</x:v>
      </x:c>
      <x:c r="I42" s="10" t="n">
        <x:f>H42-G42</x:f>
        <x:v>4</x:v>
      </x:c>
      <x:c r="J42" s="8" t="str">
        <x:v>шт.</x:v>
      </x:c>
      <x:c r="K42" s="8" t="str">
        <x:v>ШС1</x:v>
      </x:c>
      <x:c r="L42" s="8" t="str">
        <x:v>Для 22 колодок PYF-022BE/2, включая ЗИП.</x:v>
      </x:c>
    </x:row>
    <x:row r="43" ht="31" hidden="0" customHeight="1">
      <x:c r="A43" s="8" t="n">
        <x:v>39</x:v>
      </x:c>
      <x:c r="B43" s="8" t="str">
        <x:v>K1–K9 (модули)</x:v>
      </x:c>
      <x:c r="C43" s="8" t="str">
        <x:v>Модуль индикации и защиты катушки 24 В DC</x:v>
      </x:c>
      <x:c r="D43" s="8" t="str">
        <x:v>LM-CF24.G</x:v>
      </x:c>
      <x:c r="E43" s="8" t="str">
        <x:v>KIPPRIBOR</x:v>
      </x:c>
      <x:c r="F43" s="10" t="n">
        <x:v>9</x:v>
      </x:c>
      <x:c r="G43" s="10" t="n">
        <x:f>F43*2</x:f>
        <x:v>18</x:v>
      </x:c>
      <x:c r="H43" s="10" t="n">
        <x:v>22</x:v>
      </x:c>
      <x:c r="I43" s="10" t="n">
        <x:f>H43-G43</x:f>
        <x:v>4</x:v>
      </x:c>
      <x:c r="J43" s="8" t="str">
        <x:v>шт.</x:v>
      </x:c>
      <x:c r="K43" s="8" t="str">
        <x:v>ШС1</x:v>
      </x:c>
      <x:c r="L43" s="8" t="str">
        <x:v>Для K1–K9 MR-203.D: 18 рабочих + 4 ЗИП.</x:v>
      </x:c>
    </x:row>
    <x:row r="44" ht="31.399999618530273" hidden="0" customHeight="1">
      <x:c r="A44" s="8" t="n">
        <x:v>40</x:v>
      </x:c>
      <x:c r="B44" s="8" t="str">
        <x:v>K10–K14, K16</x:v>
      </x:c>
      <x:c r="C44" s="8" t="str">
        <x:v>Промежуточное реле 24 В DC, 1 CO, 6 А</x:v>
      </x:c>
      <x:c r="D44" s="8" t="str">
        <x:v>SR-203.D</x:v>
      </x:c>
      <x:c r="E44" s="8" t="str">
        <x:v>KIPPRIBOR</x:v>
      </x:c>
      <x:c r="F44" s="10" t="n">
        <x:v>6</x:v>
      </x:c>
      <x:c r="G44" s="10" t="n">
        <x:f>F44*2</x:f>
        <x:v>12</x:v>
      </x:c>
      <x:c r="H44" s="10" t="n">
        <x:v>16</x:v>
      </x:c>
      <x:c r="I44" s="10" t="n">
        <x:f>H44-G44</x:f>
        <x:v>4</x:v>
      </x:c>
      <x:c r="J44" s="8" t="str">
        <x:v>шт.</x:v>
      </x:c>
      <x:c r="K44" s="8" t="str">
        <x:v>ШС1</x:v>
      </x:c>
      <x:c r="L44" s="8" t="str">
        <x:v>K10–K14 и резервный K16: по 6 на ШС. 12 установленных + 4 запасные. Колодки закупаются отдельной позицией.</x:v>
      </x:c>
    </x:row>
    <x:row r="45" ht="31.399999618530273" hidden="0" customHeight="1">
      <x:c r="A45" s="8" t="n">
        <x:v>41</x:v>
      </x:c>
      <x:c r="B45" s="8" t="str">
        <x:v>K10–K14, K16 (колодки)</x:v>
      </x:c>
      <x:c r="C45" s="8" t="str">
        <x:v>Колодка SR на DIN-рейку, со встроенной индикацией и защитой катушки</x:v>
      </x:c>
      <x:c r="D45" s="8" t="str">
        <x:v>PYF-011BE/3.24DC.24DC</x:v>
      </x:c>
      <x:c r="E45" s="8" t="str">
        <x:v>KIPPRIBOR</x:v>
      </x:c>
      <x:c r="F45" s="10" t="n">
        <x:v>6</x:v>
      </x:c>
      <x:c r="G45" s="10" t="n">
        <x:f>F45*2</x:f>
        <x:v>12</x:v>
      </x:c>
      <x:c r="H45" s="10" t="n">
        <x:v>16</x:v>
      </x:c>
      <x:c r="I45" s="10" t="n">
        <x:f>H45-G45</x:f>
        <x:v>4</x:v>
      </x:c>
      <x:c r="J45" s="8" t="str">
        <x:v>шт.</x:v>
      </x:c>
      <x:c r="K45" s="8" t="str">
        <x:v>ШС1</x:v>
      </x:c>
      <x:c r="L45" s="8" t="str">
        <x:v>Для K10–K14 и K16. 12 установленных + 4 запасные. Закупка отдельно от реле.</x:v>
      </x:c>
    </x:row>
    <x:row r="46" ht="31" hidden="0" customHeight="1">
      <x:c r="A46" s="8" t="n">
        <x:v>42</x:v>
      </x:c>
      <x:c r="B46" s="8" t="str">
        <x:v>SB0</x:v>
      </x:c>
      <x:c r="C46" s="8" t="str">
        <x:v>Кнопка аварийного останова Ø40, фиксация, 1 НЗ</x:v>
      </x:c>
      <x:c r="D46" s="8" t="str">
        <x:v>MTB2-BSZ1254</x:v>
      </x:c>
      <x:c r="E46" s="8" t="str">
        <x:v>MEYERTEC</x:v>
      </x:c>
      <x:c r="F46" s="10" t="n">
        <x:v>1</x:v>
      </x:c>
      <x:c r="G46" s="10" t="n">
        <x:f>F46*2</x:f>
        <x:v>2</x:v>
      </x:c>
      <x:c r="H46" s="10" t="n">
        <x:v>2</x:v>
      </x:c>
      <x:c r="I46" s="10" t="n">
        <x:f>H46-G46</x:f>
        <x:v>0</x:v>
      </x:c>
      <x:c r="J46" s="8" t="str">
        <x:v>шт.</x:v>
      </x:c>
      <x:c r="K46" s="8" t="str">
        <x:v>ШО1</x:v>
      </x:c>
      <x:c r="L46" s="8" t="str">
        <x:v>SB0, по 1 на ШО.</x:v>
      </x:c>
    </x:row>
    <x:row r="47" ht="31" hidden="0" customHeight="1">
      <x:c r="A47" s="8" t="n">
        <x:v>43</x:v>
      </x:c>
      <x:c r="B47" s="8" t="str">
        <x:v>SB1</x:v>
      </x:c>
      <x:c r="C47" s="8" t="str">
        <x:v>Кнопка «Пуск», зелёная, 1 НО</x:v>
      </x:c>
      <x:c r="D47" s="8" t="str">
        <x:v>MTB2-BAZ113</x:v>
      </x:c>
      <x:c r="E47" s="8" t="str">
        <x:v>MEYERTEC</x:v>
      </x:c>
      <x:c r="F47" s="10" t="n">
        <x:v>1</x:v>
      </x:c>
      <x:c r="G47" s="10" t="n">
        <x:f>F47*2</x:f>
        <x:v>2</x:v>
      </x:c>
      <x:c r="H47" s="10" t="n">
        <x:v>2</x:v>
      </x:c>
      <x:c r="I47" s="10" t="n">
        <x:f>H47-G47</x:f>
        <x:v>0</x:v>
      </x:c>
      <x:c r="J47" s="8" t="str">
        <x:v>шт.</x:v>
      </x:c>
      <x:c r="K47" s="8" t="str">
        <x:v>ШО1</x:v>
      </x:c>
      <x:c r="L47" s="8" t="str">
        <x:v>SB1, по 1 на ШО.</x:v>
      </x:c>
    </x:row>
    <x:row r="48" ht="31" hidden="0" customHeight="1">
      <x:c r="A48" s="8" t="n">
        <x:v>44</x:v>
      </x:c>
      <x:c r="B48" s="8" t="str">
        <x:v>SB2</x:v>
      </x:c>
      <x:c r="C48" s="8" t="str">
        <x:v>Кнопка «Стоп», красная, 1 НЗ</x:v>
      </x:c>
      <x:c r="D48" s="8" t="str">
        <x:v>MTB2-BAZ124</x:v>
      </x:c>
      <x:c r="E48" s="8" t="str">
        <x:v>MEYERTEC</x:v>
      </x:c>
      <x:c r="F48" s="10" t="n">
        <x:v>1</x:v>
      </x:c>
      <x:c r="G48" s="10" t="n">
        <x:f>F48*2</x:f>
        <x:v>2</x:v>
      </x:c>
      <x:c r="H48" s="10" t="n">
        <x:v>2</x:v>
      </x:c>
      <x:c r="I48" s="10" t="n">
        <x:f>H48-G48</x:f>
        <x:v>0</x:v>
      </x:c>
      <x:c r="J48" s="8" t="str">
        <x:v>шт.</x:v>
      </x:c>
      <x:c r="K48" s="8" t="str">
        <x:v>ШО1</x:v>
      </x:c>
      <x:c r="L48" s="8" t="str">
        <x:v>SB2, по 1 на ШО.</x:v>
      </x:c>
    </x:row>
    <x:row r="49" ht="31" hidden="0" customHeight="1">
      <x:c r="A49" s="8" t="n">
        <x:v>45</x:v>
      </x:c>
      <x:c r="B49" s="8" t="str">
        <x:v>SB3</x:v>
      </x:c>
      <x:c r="C49" s="8" t="str">
        <x:v>Кнопка «Сброс», синяя, 1 НО</x:v>
      </x:c>
      <x:c r="D49" s="8" t="str">
        <x:v>MTB2-BAZ116</x:v>
      </x:c>
      <x:c r="E49" s="8" t="str">
        <x:v>MEYERTEC</x:v>
      </x:c>
      <x:c r="F49" s="10" t="n">
        <x:v>1</x:v>
      </x:c>
      <x:c r="G49" s="10" t="n">
        <x:f>F49*2</x:f>
        <x:v>2</x:v>
      </x:c>
      <x:c r="H49" s="10" t="n">
        <x:v>2</x:v>
      </x:c>
      <x:c r="I49" s="10" t="n">
        <x:f>H49-G49</x:f>
        <x:v>0</x:v>
      </x:c>
      <x:c r="J49" s="8" t="str">
        <x:v>шт.</x:v>
      </x:c>
      <x:c r="K49" s="8" t="str">
        <x:v>ШО1</x:v>
      </x:c>
      <x:c r="L49" s="8" t="str">
        <x:v>SB3, по 1 на ШО.</x:v>
      </x:c>
    </x:row>
    <x:row r="50" ht="31" hidden="0" customHeight="1">
      <x:c r="A50" s="8" t="n">
        <x:v>46</x:v>
      </x:c>
      <x:c r="B50" s="8" t="str">
        <x:v>SB4, SB5</x:v>
      </x:c>
      <x:c r="C50" s="8" t="str">
        <x:v>Кнопка чёрная, 1 НО</x:v>
      </x:c>
      <x:c r="D50" s="8" t="str">
        <x:v>MTB2-BAZ112</x:v>
      </x:c>
      <x:c r="E50" s="8" t="str">
        <x:v>MEYERTEC</x:v>
      </x:c>
      <x:c r="F50" s="10" t="n">
        <x:v>2</x:v>
      </x:c>
      <x:c r="G50" s="10" t="n">
        <x:f>F50*2</x:f>
        <x:v>4</x:v>
      </x:c>
      <x:c r="H50" s="10" t="n">
        <x:v>4</x:v>
      </x:c>
      <x:c r="I50" s="10" t="n">
        <x:f>H50-G50</x:f>
        <x:v>0</x:v>
      </x:c>
      <x:c r="J50" s="8" t="str">
        <x:v>шт.</x:v>
      </x:c>
      <x:c r="K50" s="8" t="str">
        <x:v>ШО1</x:v>
      </x:c>
      <x:c r="L50" s="8" t="str">
        <x:v>SB4/SB5: подъём и опускание, по 2 на ШО.</x:v>
      </x:c>
    </x:row>
    <x:row r="51" ht="31" hidden="0" customHeight="1">
      <x:c r="A51" s="8" t="n">
        <x:v>47</x:v>
      </x:c>
      <x:c r="B51" s="8" t="str">
        <x:v>HL1</x:v>
      </x:c>
      <x:c r="C51" s="8" t="str">
        <x:v>Лампа сигнальная «Сеть», зелёная, 24 В</x:v>
      </x:c>
      <x:c r="D51" s="8" t="str">
        <x:v>MT22-S13</x:v>
      </x:c>
      <x:c r="E51" s="8" t="str">
        <x:v>MEYERTEC</x:v>
      </x:c>
      <x:c r="F51" s="10" t="n">
        <x:v>1</x:v>
      </x:c>
      <x:c r="G51" s="10" t="n">
        <x:f>F51*2</x:f>
        <x:v>2</x:v>
      </x:c>
      <x:c r="H51" s="10" t="n">
        <x:v>2</x:v>
      </x:c>
      <x:c r="I51" s="10" t="n">
        <x:f>H51-G51</x:f>
        <x:v>0</x:v>
      </x:c>
      <x:c r="J51" s="8" t="str">
        <x:v>шт.</x:v>
      </x:c>
      <x:c r="K51" s="8" t="str">
        <x:v>ШО1</x:v>
      </x:c>
      <x:c r="L51" s="8" t="str">
        <x:v>HL1, по 1 на ШО.</x:v>
      </x:c>
    </x:row>
    <x:row r="52" ht="31" hidden="0" customHeight="1">
      <x:c r="A52" s="8" t="n">
        <x:v>48</x:v>
      </x:c>
      <x:c r="B52" s="8" t="str">
        <x:v>HL2</x:v>
      </x:c>
      <x:c r="C52" s="8" t="str">
        <x:v>Лампа сигнальная «Авария», красная, 24 В</x:v>
      </x:c>
      <x:c r="D52" s="8" t="str">
        <x:v>MT22-S14</x:v>
      </x:c>
      <x:c r="E52" s="8" t="str">
        <x:v>MEYERTEC</x:v>
      </x:c>
      <x:c r="F52" s="10" t="n">
        <x:v>1</x:v>
      </x:c>
      <x:c r="G52" s="10" t="n">
        <x:f>F52*2</x:f>
        <x:v>2</x:v>
      </x:c>
      <x:c r="H52" s="10" t="n">
        <x:v>2</x:v>
      </x:c>
      <x:c r="I52" s="10" t="n">
        <x:f>H52-G52</x:f>
        <x:v>0</x:v>
      </x:c>
      <x:c r="J52" s="8" t="str">
        <x:v>шт.</x:v>
      </x:c>
      <x:c r="K52" s="8" t="str">
        <x:v>ШО1</x:v>
      </x:c>
      <x:c r="L52" s="8" t="str">
        <x:v>HL2, по 1 на ШО.</x:v>
      </x:c>
    </x:row>
    <x:row r="53" ht="31" hidden="0" customHeight="1">
      <x:c r="A53" s="8" t="n">
        <x:v>49</x:v>
      </x:c>
      <x:c r="B53" s="8" t="str">
        <x:v>SQ1</x:v>
      </x:c>
      <x:c r="C53" s="8" t="str">
        <x:v>Концевой выключатель двери, прямой плунжер, 1 НО + 1 НЗ</x:v>
      </x:c>
      <x:c r="D53" s="8" t="str">
        <x:v>MTB4-LZ8111</x:v>
      </x:c>
      <x:c r="E53" s="8" t="str">
        <x:v>MEYERTEC</x:v>
      </x:c>
      <x:c r="F53" s="10" t="n">
        <x:v>1</x:v>
      </x:c>
      <x:c r="G53" s="10" t="n">
        <x:f>F53*2</x:f>
        <x:v>2</x:v>
      </x:c>
      <x:c r="H53" s="10" t="n">
        <x:v>2</x:v>
      </x:c>
      <x:c r="I53" s="10" t="n">
        <x:f>H53-G53</x:f>
        <x:v>0</x:v>
      </x:c>
      <x:c r="J53" s="8" t="str">
        <x:v>шт.</x:v>
      </x:c>
      <x:c r="K53" s="8" t="str">
        <x:v>ШС1</x:v>
      </x:c>
      <x:c r="L53" s="8" t="str">
        <x:v>SQ1, по 1 на ШС; контроль открытия двери.</x:v>
      </x:c>
    </x:row>
    <x:row r="54" ht="31" hidden="0" customHeight="1">
      <x:c r="A54" s="8" t="n">
        <x:v>50</x:v>
      </x:c>
      <x:c r="B54" s="8" t="str">
        <x:v>XS1</x:v>
      </x:c>
      <x:c r="C54" s="8" t="str">
        <x:v>Сервисная розетка DIN, 2P+PE, 16 А, 250 В</x:v>
      </x:c>
      <x:c r="D54" s="8" t="str">
        <x:v>MT-DRS</x:v>
      </x:c>
      <x:c r="E54" s="8" t="str">
        <x:v>MEYERTEC</x:v>
      </x:c>
      <x:c r="F54" s="10" t="n">
        <x:v>1</x:v>
      </x:c>
      <x:c r="G54" s="10" t="n">
        <x:f>F54*2</x:f>
        <x:v>2</x:v>
      </x:c>
      <x:c r="H54" s="10" t="n">
        <x:v>2</x:v>
      </x:c>
      <x:c r="I54" s="10" t="n">
        <x:f>H54-G54</x:f>
        <x:v>0</x:v>
      </x:c>
      <x:c r="J54" s="8" t="str">
        <x:v>шт.</x:v>
      </x:c>
      <x:c r="K54" s="8" t="str">
        <x:v>ШС1</x:v>
      </x:c>
      <x:c r="L54" s="8" t="str">
        <x:v>XS1, по 1 на ШС.</x:v>
      </x:c>
    </x:row>
    <x:row r="55" ht="31.399999618530273" hidden="0" customHeight="1">
      <x:c r="A55" s="8" t="n">
        <x:v>51</x:v>
      </x:c>
      <x:c r="B55" s="8" t="str">
        <x:v>HL3</x:v>
      </x:c>
      <x:c r="C55" s="8" t="str">
        <x:v>Светозвуковая колонна, красный/жёлтый/зелёный + зуммер, 24 В AC/DC</x:v>
      </x:c>
      <x:c r="D55" s="8" t="str">
        <x:v>MT45-RYG24B</x:v>
      </x:c>
      <x:c r="E55" s="8" t="str">
        <x:v>MEYERTEC</x:v>
      </x:c>
      <x:c r="F55" s="10" t="n">
        <x:v>1</x:v>
      </x:c>
      <x:c r="G55" s="10" t="n">
        <x:f>F55*2</x:f>
        <x:v>2</x:v>
      </x:c>
      <x:c r="H55" s="10" t="n">
        <x:v>2</x:v>
      </x:c>
      <x:c r="I55" s="10" t="n">
        <x:f>H55-G55</x:f>
        <x:v>0</x:v>
      </x:c>
      <x:c r="J55" s="8" t="str">
        <x:v>шт.</x:v>
      </x:c>
      <x:c r="K55" s="8" t="str">
        <x:v>Рама установки</x:v>
      </x:c>
      <x:c r="L55" s="8" t="str">
        <x:v>HL3: по 1 на раму. Подключение через XT11:1–7.</x:v>
      </x:c>
    </x:row>
    <x:row r="56" ht="31" hidden="0" customHeight="1">
      <x:c r="A56" s="8" t="n">
        <x:v>52</x:v>
      </x:c>
      <x:c r="B56" s="8" t="str">
        <x:v>Материалы / запас</x:v>
      </x:c>
      <x:c r="C56" s="8" t="str">
        <x:v>DIN-рейка перфорированная 35×7,5 мм, длина 2 м</x:v>
      </x:c>
      <x:c r="D56" s="8" t="str">
        <x:v>02140R</x:v>
      </x:c>
      <x:c r="E56" s="8" t="str">
        <x:v>DKC</x:v>
      </x:c>
      <x:c r="F56" s="10"/>
      <x:c r="G56" s="10"/>
      <x:c r="H56" s="10" t="n">
        <x:v>4</x:v>
      </x:c>
      <x:c r="I56" s="10"/>
      <x:c r="J56" s="8" t="str">
        <x:v>шт.</x:v>
      </x:c>
      <x:c r="K56" s="8" t="str">
        <x:v>Общий комплект</x:v>
      </x:c>
      <x:c r="L56" s="8" t="str"/>
    </x:row>
    <x:row r="57" ht="31" hidden="0" customHeight="1">
      <x:c r="A57" s="8" t="n">
        <x:v>53</x:v>
      </x:c>
      <x:c r="B57" s="8" t="str">
        <x:v>Материалы / запас</x:v>
      </x:c>
      <x:c r="C57" s="8" t="str">
        <x:v>Перфорированный короб RL6, 60×80 мм</x:v>
      </x:c>
      <x:c r="D57" s="8" t="str">
        <x:v>01128RL</x:v>
      </x:c>
      <x:c r="E57" s="8" t="str">
        <x:v>DKC</x:v>
      </x:c>
      <x:c r="F57" s="10"/>
      <x:c r="G57" s="10"/>
      <x:c r="H57" s="10" t="n">
        <x:v>6</x:v>
      </x:c>
      <x:c r="I57" s="10"/>
      <x:c r="J57" s="8" t="str">
        <x:v>м</x:v>
      </x:c>
      <x:c r="K57" s="8" t="str">
        <x:v>Общий комплект</x:v>
      </x:c>
      <x:c r="L57" s="8" t="str"/>
    </x:row>
    <x:row r="58" ht="31" hidden="0" customHeight="1">
      <x:c r="A58" s="8" t="n">
        <x:v>54</x:v>
      </x:c>
      <x:c r="B58" s="8" t="str">
        <x:v>Материалы / запас</x:v>
      </x:c>
      <x:c r="C58" s="8" t="str">
        <x:v>Перфорированный короб RL6, 40×60 мм</x:v>
      </x:c>
      <x:c r="D58" s="8" t="str">
        <x:v>01107RL</x:v>
      </x:c>
      <x:c r="E58" s="8" t="str">
        <x:v>DKC</x:v>
      </x:c>
      <x:c r="F58" s="10"/>
      <x:c r="G58" s="10"/>
      <x:c r="H58" s="10" t="n">
        <x:v>10</x:v>
      </x:c>
      <x:c r="I58" s="10"/>
      <x:c r="J58" s="8" t="str">
        <x:v>м</x:v>
      </x:c>
      <x:c r="K58" s="8" t="str">
        <x:v>Общий комплект</x:v>
      </x:c>
      <x:c r="L58" s="8" t="str"/>
    </x:row>
    <x:row r="59" ht="31" hidden="0" customHeight="1">
      <x:c r="A59" s="8" t="n">
        <x:v>55</x:v>
      </x:c>
      <x:c r="B59" s="8" t="str">
        <x:v>N1</x:v>
      </x:c>
      <x:c r="C59" s="8" t="str">
        <x:v>Шина N в изоляторе, 63 А, 15 присоединений, DIN</x:v>
      </x:c>
      <x:c r="D59" s="8" t="str">
        <x:v>5015N</x:v>
      </x:c>
      <x:c r="E59" s="8" t="str">
        <x:v>DKC</x:v>
      </x:c>
      <x:c r="F59" s="10" t="n">
        <x:v>1</x:v>
      </x:c>
      <x:c r="G59" s="10" t="n">
        <x:f>F59*2</x:f>
        <x:v>2</x:v>
      </x:c>
      <x:c r="H59" s="10" t="n">
        <x:v>2</x:v>
      </x:c>
      <x:c r="I59" s="10" t="n">
        <x:f>H59-G59</x:f>
        <x:v>0</x:v>
      </x:c>
      <x:c r="J59" s="8" t="str">
        <x:v>шт.</x:v>
      </x:c>
      <x:c r="K59" s="8" t="str">
        <x:v>ШС1</x:v>
      </x:c>
      <x:c r="L59" s="8" t="str">
        <x:v>По 1 на ШС.</x:v>
      </x:c>
    </x:row>
    <x:row r="60" ht="31" hidden="0" customHeight="1">
      <x:c r="A60" s="8" t="n">
        <x:v>56</x:v>
      </x:c>
      <x:c r="B60" s="8" t="str">
        <x:v>PE1, PE2, ШО1.PE</x:v>
      </x:c>
      <x:c r="C60" s="8" t="str">
        <x:v>Шина PE в изоляторе, 63 А, 15 присоединений, DIN</x:v>
      </x:c>
      <x:c r="D60" s="8" t="str">
        <x:v>T1615</x:v>
      </x:c>
      <x:c r="E60" s="8" t="str">
        <x:v>DKC</x:v>
      </x:c>
      <x:c r="F60" s="10" t="n">
        <x:v>3</x:v>
      </x:c>
      <x:c r="G60" s="10" t="n">
        <x:f>F60*2</x:f>
        <x:v>6</x:v>
      </x:c>
      <x:c r="H60" s="10" t="n">
        <x:v>6</x:v>
      </x:c>
      <x:c r="I60" s="10" t="n">
        <x:f>H60-G60</x:f>
        <x:v>0</x:v>
      </x:c>
      <x:c r="J60" s="8" t="str">
        <x:v>шт.</x:v>
      </x:c>
      <x:c r="K60" s="8" t="str">
        <x:v>ШС1 / ШО1</x:v>
      </x:c>
      <x:c r="L60" s="8" t="str">
        <x:v>Распределительная PE: по 2 на ШС и по 1 на ШО.</x:v>
      </x:c>
    </x:row>
    <x:row r="61" ht="31" hidden="0" customHeight="1">
      <x:c r="A61" s="8" t="n">
        <x:v>57</x:v>
      </x:c>
      <x:c r="B61" s="8" t="str">
        <x:v>Материалы / запас</x:v>
      </x:c>
      <x:c r="C61" s="8" t="str">
        <x:v>Шина медная 10×3 мм, длина 1 м</x:v>
      </x:c>
      <x:c r="D61" s="8"/>
      <x:c r="E61" s="8"/>
      <x:c r="F61" s="10"/>
      <x:c r="G61" s="10"/>
      <x:c r="H61" s="10" t="n">
        <x:v>1</x:v>
      </x:c>
      <x:c r="I61" s="10"/>
      <x:c r="J61" s="8" t="str">
        <x:v>шт.</x:v>
      </x:c>
      <x:c r="K61" s="8" t="str">
        <x:v>Общий комплект</x:v>
      </x:c>
      <x:c r="L61" s="8" t="str">
        <x:v>Отдельная шина экранов: два участка в ШС, соединить с PE.</x:v>
      </x:c>
    </x:row>
    <x:row r="62" ht="31" hidden="0" customHeight="1">
      <x:c r="A62" s="8" t="n">
        <x:v>58</x:v>
      </x:c>
      <x:c r="B62" s="8" t="str">
        <x:v>EQS1 (опоры)</x:v>
      </x:c>
      <x:c r="C62" s="8" t="str">
        <x:v>Изолированная опора шины 10×3 мм</x:v>
      </x:c>
      <x:c r="D62" s="8" t="str">
        <x:v>ZBSI</x:v>
      </x:c>
      <x:c r="E62" s="8" t="str">
        <x:v>DKC</x:v>
      </x:c>
      <x:c r="F62" s="10" t="n">
        <x:v>2</x:v>
      </x:c>
      <x:c r="G62" s="10" t="n">
        <x:f>F62*2</x:f>
        <x:v>4</x:v>
      </x:c>
      <x:c r="H62" s="10" t="n">
        <x:v>4</x:v>
      </x:c>
      <x:c r="I62" s="10" t="n">
        <x:f>H62-G62</x:f>
        <x:v>0</x:v>
      </x:c>
      <x:c r="J62" s="8" t="str">
        <x:v>шт.</x:v>
      </x:c>
      <x:c r="K62" s="8" t="str">
        <x:v>ШС1</x:v>
      </x:c>
      <x:c r="L62" s="8" t="str">
        <x:v>По 2 на каждый участок шины экранов.</x:v>
      </x:c>
    </x:row>
    <x:row r="63" ht="31" hidden="0" customHeight="1">
      <x:c r="A63" s="8" t="n">
        <x:v>59</x:v>
      </x:c>
      <x:c r="B63" s="8" t="str">
        <x:v>EQS1 (экраны W6, W21, WA1)</x:v>
      </x:c>
      <x:c r="C63" s="8" t="str">
        <x:v>Зажим экрана кабеля Ø5–8 мм</x:v>
      </x:c>
      <x:c r="D63" s="8" t="str">
        <x:v>ZCC8</x:v>
      </x:c>
      <x:c r="E63" s="8" t="str">
        <x:v>DKC</x:v>
      </x:c>
      <x:c r="F63" s="10" t="n">
        <x:v>3</x:v>
      </x:c>
      <x:c r="G63" s="10" t="n">
        <x:f>F63*2</x:f>
        <x:v>6</x:v>
      </x:c>
      <x:c r="H63" s="10" t="n">
        <x:v>8</x:v>
      </x:c>
      <x:c r="I63" s="10" t="n">
        <x:f>H63-G63</x:f>
        <x:v>2</x:v>
      </x:c>
      <x:c r="J63" s="8" t="str">
        <x:v>шт.</x:v>
      </x:c>
      <x:c r="K63" s="8" t="str">
        <x:v>ШС1</x:v>
      </x:c>
      <x:c r="L63" s="8" t="str">
        <x:v>На шину 10×3 мм.</x:v>
      </x:c>
    </x:row>
    <x:row r="64" ht="31" hidden="0" customHeight="1">
      <x:c r="A64" s="8" t="n">
        <x:v>60</x:v>
      </x:c>
      <x:c r="B64" s="8" t="str">
        <x:v>EQS1 (экран W2)</x:v>
      </x:c>
      <x:c r="C64" s="8" t="str">
        <x:v>Зажим экрана кабеля Ø8–14 мм</x:v>
      </x:c>
      <x:c r="D64" s="8" t="str">
        <x:v>ZCC14</x:v>
      </x:c>
      <x:c r="E64" s="8" t="str">
        <x:v>DKC</x:v>
      </x:c>
      <x:c r="F64" s="10" t="n">
        <x:v>1</x:v>
      </x:c>
      <x:c r="G64" s="10" t="n">
        <x:f>F64*2</x:f>
        <x:v>2</x:v>
      </x:c>
      <x:c r="H64" s="10" t="n">
        <x:v>2</x:v>
      </x:c>
      <x:c r="I64" s="10" t="n">
        <x:f>H64-G64</x:f>
        <x:v>0</x:v>
      </x:c>
      <x:c r="J64" s="8" t="str">
        <x:v>шт.</x:v>
      </x:c>
      <x:c r="K64" s="8" t="str">
        <x:v>ШС1</x:v>
      </x:c>
      <x:c r="L64" s="8" t="str">
        <x:v>Для экранов моторных кабелей; на шину 10×3 мм.</x:v>
      </x:c>
    </x:row>
    <x:row r="65" ht="31" hidden="0" customHeight="1">
      <x:c r="A65" s="8" t="n">
        <x:v>61</x:v>
      </x:c>
      <x:c r="B65" s="8" t="str">
        <x:v>Материалы / запас</x:v>
      </x:c>
      <x:c r="C65" s="8" t="str">
        <x:v>Кабельный ввод IP68, M20×1,5, кабель Ø6–12 мм</x:v>
      </x:c>
      <x:c r="D65" s="8" t="str">
        <x:v>52M2012</x:v>
      </x:c>
      <x:c r="E65" s="8" t="str">
        <x:v>DKC</x:v>
      </x:c>
      <x:c r="F65" s="10"/>
      <x:c r="G65" s="10"/>
      <x:c r="H65" s="10" t="n">
        <x:v>54</x:v>
      </x:c>
      <x:c r="I65" s="10"/>
      <x:c r="J65" s="8" t="str">
        <x:v>шт.</x:v>
      </x:c>
      <x:c r="K65" s="8" t="str">
        <x:v>Общий комплект</x:v>
      </x:c>
      <x:c r="L65" s="8" t="str">
        <x:v>Для сигнальных/управляющих кабелей; контргайка в комплекте.</x:v>
      </x:c>
    </x:row>
    <x:row r="66" ht="31" hidden="0" customHeight="1">
      <x:c r="A66" s="8" t="n">
        <x:v>62</x:v>
      </x:c>
      <x:c r="B66" s="8" t="str">
        <x:v>Материалы / запас</x:v>
      </x:c>
      <x:c r="C66" s="8" t="str">
        <x:v>Кабельный ввод IP68, M25×1,5, кабель Ø13–18 мм</x:v>
      </x:c>
      <x:c r="D66" s="8" t="str">
        <x:v>53M2518</x:v>
      </x:c>
      <x:c r="E66" s="8" t="str">
        <x:v>DKC</x:v>
      </x:c>
      <x:c r="F66" s="10"/>
      <x:c r="G66" s="10"/>
      <x:c r="H66" s="10" t="n">
        <x:v>6</x:v>
      </x:c>
      <x:c r="I66" s="10"/>
      <x:c r="J66" s="8" t="str">
        <x:v>шт.</x:v>
      </x:c>
      <x:c r="K66" s="8" t="str">
        <x:v>Общий комплект</x:v>
      </x:c>
      <x:c r="L66" s="8" t="str">
        <x:v>2 моторных + 4 межшкафных ввода; контргайка в комплекте.</x:v>
      </x:c>
    </x:row>
    <x:row r="67" ht="31" hidden="0" customHeight="1">
      <x:c r="A67" s="8" t="n">
        <x:v>63</x:v>
      </x:c>
      <x:c r="B67" s="8" t="str">
        <x:v>Материалы / запас</x:v>
      </x:c>
      <x:c r="C67" s="8" t="str">
        <x:v>Кабельный ввод IP68, M32×1,5, кабель Ø18–25 мм</x:v>
      </x:c>
      <x:c r="D67" s="8" t="str">
        <x:v>53M3225</x:v>
      </x:c>
      <x:c r="E67" s="8" t="str">
        <x:v>DKC</x:v>
      </x:c>
      <x:c r="F67" s="10"/>
      <x:c r="G67" s="10"/>
      <x:c r="H67" s="10" t="n">
        <x:v>2</x:v>
      </x:c>
      <x:c r="I67" s="10"/>
      <x:c r="J67" s="8" t="str">
        <x:v>шт.</x:v>
      </x:c>
      <x:c r="K67" s="8" t="str">
        <x:v>Общий комплект</x:v>
      </x:c>
      <x:c r="L67" s="8" t="str">
        <x:v>Ввод питания 5G10 в ШС; контргайка в комплекте.</x:v>
      </x:c>
    </x:row>
    <x:row r="68" ht="31.399999618530273" hidden="0" customHeight="1">
      <x:c r="A68" s="8" t="n">
        <x:v>64</x:v>
      </x:c>
      <x:c r="B68" s="8" t="str">
        <x:v>Материалы / запас</x:v>
      </x:c>
      <x:c r="C68" s="8" t="str">
        <x:v>Наконечник кольцевой изолированный НКИ 6,0–6, серия ПРОФИ, пакет 100 шт.</x:v>
      </x:c>
      <x:c r="D68" s="8" t="str">
        <x:v>108523 / НКИ 6,0–6 ПРОФИ (100 шт.)</x:v>
      </x:c>
      <x:c r="E68" s="8" t="str">
        <x:v>КВТ</x:v>
      </x:c>
      <x:c r="F68" s="10"/>
      <x:c r="G68" s="10"/>
      <x:c r="H68" s="10" t="n">
        <x:v>1</x:v>
      </x:c>
      <x:c r="I68" s="10"/>
      <x:c r="J68" s="8" t="str">
        <x:v>уп.</x:v>
      </x:c>
      <x:c r="K68" s="8" t="str">
        <x:v>Общий комплект</x:v>
      </x:c>
      <x:c r="L68" s="8" t="str">
        <x:v>Одна упаковка 100 шт. на весь комплект шкафов. Для медного провода 2,5–6 мм² и болта М6. Крепёж отдельно не закладывается.</x:v>
      </x:c>
    </x:row>
    <x:row r="69" ht="31" hidden="0" customHeight="1">
      <x:c r="A69" s="8" t="n">
        <x:v>65</x:v>
      </x:c>
      <x:c r="B69" s="8" t="str">
        <x:v>Материалы / запас</x:v>
      </x:c>
      <x:c r="C69" s="8" t="str">
        <x:v>Кабельная стяжка PA6.6, чёрная, 2,5×100 мм</x:v>
      </x:c>
      <x:c r="D69" s="8" t="str">
        <x:v>25303SR-50</x:v>
      </x:c>
      <x:c r="E69" s="8" t="str">
        <x:v>DKC</x:v>
      </x:c>
      <x:c r="F69" s="10"/>
      <x:c r="G69" s="10"/>
      <x:c r="H69" s="10" t="n">
        <x:v>100</x:v>
      </x:c>
      <x:c r="I69" s="10"/>
      <x:c r="J69" s="8" t="str">
        <x:v>шт.</x:v>
      </x:c>
      <x:c r="K69" s="8" t="str">
        <x:v>Общий комплект</x:v>
      </x:c>
      <x:c r="L69" s="8" t="str">
        <x:v>Для локальной фиксации жгутов.</x:v>
      </x:c>
    </x:row>
    <x:row r="70" ht="31" hidden="0" customHeight="1">
      <x:c r="A70" s="8" t="n">
        <x:v>66</x:v>
      </x:c>
      <x:c r="B70" s="8" t="str">
        <x:v>XT / XD — серые 2,5</x:v>
      </x:c>
      <x:c r="C70" s="8" t="str">
        <x:v>Клемма 2,5 мм², серая</x:v>
      </x:c>
      <x:c r="D70" s="8" t="str">
        <x:v>MTU-2.5</x:v>
      </x:c>
      <x:c r="E70" s="8" t="str">
        <x:v>MEYERTEC</x:v>
      </x:c>
      <x:c r="F70" s="10" t="n">
        <x:v>82</x:v>
      </x:c>
      <x:c r="G70" s="10" t="n">
        <x:f>F70*2</x:f>
        <x:v>164</x:v>
      </x:c>
      <x:c r="H70" s="10" t="n">
        <x:v>168</x:v>
      </x:c>
      <x:c r="I70" s="10" t="n">
        <x:f>H70-G70</x:f>
        <x:v>4</x:v>
      </x:c>
      <x:c r="J70" s="8" t="str">
        <x:v>шт.</x:v>
      </x:c>
      <x:c r="K70" s="8" t="str">
        <x:v>ШС1 / ШО1</x:v>
      </x:c>
      <x:c r="L70" s="8" t="str">
        <x:v>Включён монтажный запас.</x:v>
      </x:c>
    </x:row>
    <x:row r="71" ht="31" hidden="0" customHeight="1">
      <x:c r="A71" s="8" t="n">
        <x:v>67</x:v>
      </x:c>
      <x:c r="B71" s="8" t="str">
        <x:v>XT / XD — синие 2,5</x:v>
      </x:c>
      <x:c r="C71" s="8" t="str">
        <x:v>Клемма 2,5 мм², синяя</x:v>
      </x:c>
      <x:c r="D71" s="8" t="str">
        <x:v>MTU-2.5BL</x:v>
      </x:c>
      <x:c r="E71" s="8" t="str">
        <x:v>MEYERTEC</x:v>
      </x:c>
      <x:c r="F71" s="10" t="n">
        <x:v>21</x:v>
      </x:c>
      <x:c r="G71" s="10" t="n">
        <x:f>F71*2</x:f>
        <x:v>42</x:v>
      </x:c>
      <x:c r="H71" s="10" t="n">
        <x:v>54</x:v>
      </x:c>
      <x:c r="I71" s="10" t="n">
        <x:f>H71-G71</x:f>
        <x:v>12</x:v>
      </x:c>
      <x:c r="J71" s="8" t="str">
        <x:v>шт.</x:v>
      </x:c>
      <x:c r="K71" s="8" t="str">
        <x:v>ШС1 / ШО1</x:v>
      </x:c>
      <x:c r="L71" s="8" t="str"/>
    </x:row>
    <x:row r="72" ht="31" hidden="0" customHeight="1">
      <x:c r="A72" s="8" t="n">
        <x:v>68</x:v>
      </x:c>
      <x:c r="B72" s="8" t="str">
        <x:v>XPE1, XT8:PE, ШО1.XPE1</x:v>
      </x:c>
      <x:c r="C72" s="8" t="str">
        <x:v>Клемма PE, 2,5 мм²</x:v>
      </x:c>
      <x:c r="D72" s="8" t="str">
        <x:v>MTU-2.5PE</x:v>
      </x:c>
      <x:c r="E72" s="8" t="str">
        <x:v>MEYERTEC</x:v>
      </x:c>
      <x:c r="F72" s="10" t="n">
        <x:v>10</x:v>
      </x:c>
      <x:c r="G72" s="10" t="n">
        <x:f>F72*2</x:f>
        <x:v>20</x:v>
      </x:c>
      <x:c r="H72" s="10" t="n">
        <x:v>20</x:v>
      </x:c>
      <x:c r="I72" s="10" t="n">
        <x:f>H72-G72</x:f>
        <x:v>0</x:v>
      </x:c>
      <x:c r="J72" s="8" t="str">
        <x:v>шт.</x:v>
      </x:c>
      <x:c r="K72" s="8" t="str">
        <x:v>ШС1 / ШО1</x:v>
      </x:c>
      <x:c r="L72" s="8" t="str">
        <x:v>По 9 на ШС: 8 в XPE1 и XT8:PE. По 1 XPE1 на ШО. Итого 20.</x:v>
      </x:c>
    </x:row>
    <x:row r="73" ht="31" hidden="0" customHeight="1">
      <x:c r="A73" s="8" t="n">
        <x:v>69</x:v>
      </x:c>
      <x:c r="B73" s="8" t="str">
        <x:v>XT10:1–3</x:v>
      </x:c>
      <x:c r="C73" s="8" t="str">
        <x:v>Клемма силовая 6 мм², серая</x:v>
      </x:c>
      <x:c r="D73" s="8" t="str">
        <x:v>MTU-6</x:v>
      </x:c>
      <x:c r="E73" s="8" t="str">
        <x:v>MEYERTEC</x:v>
      </x:c>
      <x:c r="F73" s="10" t="n">
        <x:v>3</x:v>
      </x:c>
      <x:c r="G73" s="10" t="n">
        <x:f>F73*2</x:f>
        <x:v>6</x:v>
      </x:c>
      <x:c r="H73" s="10" t="n">
        <x:v>6</x:v>
      </x:c>
      <x:c r="I73" s="10" t="n">
        <x:f>H73-G73</x:f>
        <x:v>0</x:v>
      </x:c>
      <x:c r="J73" s="8" t="str">
        <x:v>шт.</x:v>
      </x:c>
      <x:c r="K73" s="8" t="str">
        <x:v>ШС1</x:v>
      </x:c>
      <x:c r="L73" s="8" t="str">
        <x:v>U/V/W двигателя: по 3 на ШС.</x:v>
      </x:c>
    </x:row>
    <x:row r="74" ht="31" hidden="0" customHeight="1">
      <x:c r="A74" s="8" t="n">
        <x:v>70</x:v>
      </x:c>
      <x:c r="B74" s="8" t="str">
        <x:v>XT1:1–3</x:v>
      </x:c>
      <x:c r="C74" s="8" t="str">
        <x:v>Клемма вводная 10 мм², серая</x:v>
      </x:c>
      <x:c r="D74" s="8" t="str">
        <x:v>MTU-10</x:v>
      </x:c>
      <x:c r="E74" s="8" t="str">
        <x:v>MEYERTEC</x:v>
      </x:c>
      <x:c r="F74" s="10" t="n">
        <x:v>3</x:v>
      </x:c>
      <x:c r="G74" s="10" t="n">
        <x:f>F74*2</x:f>
        <x:v>6</x:v>
      </x:c>
      <x:c r="H74" s="10" t="n">
        <x:v>6</x:v>
      </x:c>
      <x:c r="I74" s="10" t="n">
        <x:f>H74-G74</x:f>
        <x:v>0</x:v>
      </x:c>
      <x:c r="J74" s="8" t="str">
        <x:v>шт.</x:v>
      </x:c>
      <x:c r="K74" s="8" t="str">
        <x:v>ШС1</x:v>
      </x:c>
      <x:c r="L74" s="8" t="str">
        <x:v>L1/L2/L3 ввода: по 3 на ШС.</x:v>
      </x:c>
    </x:row>
    <x:row r="75" ht="31" hidden="0" customHeight="1">
      <x:c r="A75" s="8" t="n">
        <x:v>71</x:v>
      </x:c>
      <x:c r="B75" s="8" t="str">
        <x:v>XT1:4</x:v>
      </x:c>
      <x:c r="C75" s="8" t="str">
        <x:v>Клемма вводная 10 мм², синяя</x:v>
      </x:c>
      <x:c r="D75" s="8" t="str">
        <x:v>MTU-10BL</x:v>
      </x:c>
      <x:c r="E75" s="8" t="str">
        <x:v>MEYERTEC</x:v>
      </x:c>
      <x:c r="F75" s="10" t="n">
        <x:v>1</x:v>
      </x:c>
      <x:c r="G75" s="10" t="n">
        <x:f>F75*2</x:f>
        <x:v>2</x:v>
      </x:c>
      <x:c r="H75" s="10" t="n">
        <x:v>2</x:v>
      </x:c>
      <x:c r="I75" s="10" t="n">
        <x:f>H75-G75</x:f>
        <x:v>0</x:v>
      </x:c>
      <x:c r="J75" s="8" t="str">
        <x:v>шт.</x:v>
      </x:c>
      <x:c r="K75" s="8" t="str">
        <x:v>ШС1</x:v>
      </x:c>
      <x:c r="L75" s="8" t="str">
        <x:v>N ввода: по 1 на ШС.</x:v>
      </x:c>
    </x:row>
    <x:row r="76" ht="31" hidden="0" customHeight="1">
      <x:c r="A76" s="8" t="n">
        <x:v>72</x:v>
      </x:c>
      <x:c r="B76" s="8" t="str">
        <x:v>XT1:PE</x:v>
      </x:c>
      <x:c r="C76" s="8" t="str">
        <x:v>Клемма вводная PE, 10 мм²</x:v>
      </x:c>
      <x:c r="D76" s="8" t="str">
        <x:v>MTU-10PE</x:v>
      </x:c>
      <x:c r="E76" s="8" t="str">
        <x:v>MEYERTEC</x:v>
      </x:c>
      <x:c r="F76" s="10" t="n">
        <x:v>1</x:v>
      </x:c>
      <x:c r="G76" s="10" t="n">
        <x:f>F76*2</x:f>
        <x:v>2</x:v>
      </x:c>
      <x:c r="H76" s="10" t="n">
        <x:v>2</x:v>
      </x:c>
      <x:c r="I76" s="10" t="n">
        <x:f>H76-G76</x:f>
        <x:v>0</x:v>
      </x:c>
      <x:c r="J76" s="8" t="str">
        <x:v>шт.</x:v>
      </x:c>
      <x:c r="K76" s="8" t="str">
        <x:v>ШС1</x:v>
      </x:c>
      <x:c r="L76" s="8" t="str">
        <x:v>PE ввода: по 1 на ШС.</x:v>
      </x:c>
    </x:row>
    <x:row r="77" ht="31.399999618530273" hidden="0" customHeight="1">
      <x:c r="A77" s="8" t="n">
        <x:v>73</x:v>
      </x:c>
      <x:c r="B77" s="8" t="str">
        <x:v>XT10:PE, ШО1.XT8:PE</x:v>
      </x:c>
      <x:c r="C77" s="8" t="str">
        <x:v>Клемма PE, 6 мм²</x:v>
      </x:c>
      <x:c r="D77" s="8" t="str">
        <x:v>MTU-6PE</x:v>
      </x:c>
      <x:c r="E77" s="8" t="str">
        <x:v>MEYERTEC</x:v>
      </x:c>
      <x:c r="F77" s="10" t="n">
        <x:v>2</x:v>
      </x:c>
      <x:c r="G77" s="10" t="n">
        <x:f>F77*2</x:f>
        <x:v>4</x:v>
      </x:c>
      <x:c r="H77" s="10" t="n">
        <x:v>4</x:v>
      </x:c>
      <x:c r="I77" s="10" t="n">
        <x:f>H77-G77</x:f>
        <x:v>0</x:v>
      </x:c>
      <x:c r="J77" s="8" t="str">
        <x:v>шт.</x:v>
      </x:c>
      <x:c r="K77" s="8" t="str">
        <x:v>ШС1 / ШО1</x:v>
      </x:c>
      <x:c r="L77" s="8" t="str">
        <x:v>По 1 на PE двигателя в ШС и PE-ввод ШО. Всего 4. XT8:PE силового шкафа — MTU-2.5PE.</x:v>
      </x:c>
    </x:row>
    <x:row r="78" ht="31" hidden="0" customHeight="1">
      <x:c r="A78" s="8" t="n">
        <x:v>74</x:v>
      </x:c>
      <x:c r="B78" s="8" t="str">
        <x:v>Материалы / запас</x:v>
      </x:c>
      <x:c r="C78" s="8" t="str">
        <x:v>Торцевая заглушка клемм MTU-2.5/6/10</x:v>
      </x:c>
      <x:c r="D78" s="8" t="str">
        <x:v>MTU-P</x:v>
      </x:c>
      <x:c r="E78" s="8" t="str">
        <x:v>MEYERTEC</x:v>
      </x:c>
      <x:c r="F78" s="10"/>
      <x:c r="G78" s="10"/>
      <x:c r="H78" s="10" t="n">
        <x:v>50</x:v>
      </x:c>
      <x:c r="I78" s="10"/>
      <x:c r="J78" s="8" t="str">
        <x:v>шт.</x:v>
      </x:c>
      <x:c r="K78" s="8" t="str">
        <x:v>Общий комплект</x:v>
      </x:c>
      <x:c r="L78" s="8" t="str"/>
    </x:row>
    <x:row r="79" ht="31" hidden="0" customHeight="1">
      <x:c r="A79" s="8" t="n">
        <x:v>75</x:v>
      </x:c>
      <x:c r="B79" s="8" t="str">
        <x:v>XD2:01–10, XD3:01–08</x:v>
      </x:c>
      <x:c r="C79" s="8" t="str">
        <x:v>Перемычка клемм 2,5 мм², 10 контактов</x:v>
      </x:c>
      <x:c r="D79" s="8" t="str">
        <x:v>MTU-J1025</x:v>
      </x:c>
      <x:c r="E79" s="8" t="str">
        <x:v>MEYERTEC</x:v>
      </x:c>
      <x:c r="F79" s="10" t="n">
        <x:v>2</x:v>
      </x:c>
      <x:c r="G79" s="10" t="n">
        <x:f>F79*2</x:f>
        <x:v>4</x:v>
      </x:c>
      <x:c r="H79" s="10" t="n">
        <x:v>6</x:v>
      </x:c>
      <x:c r="I79" s="10" t="n">
        <x:f>H79-G79</x:f>
        <x:v>2</x:v>
      </x:c>
      <x:c r="J79" s="8" t="str">
        <x:v>шт.</x:v>
      </x:c>
      <x:c r="K79" s="8" t="str">
        <x:v>ШС1</x:v>
      </x:c>
      <x:c r="L79" s="8" t="str">
        <x:v>4 рабочие + 2 запасные.</x:v>
      </x:c>
    </x:row>
    <x:row r="80" ht="31" hidden="0" customHeight="1">
      <x:c r="A80" s="8" t="n">
        <x:v>76</x:v>
      </x:c>
      <x:c r="B80" s="8" t="str">
        <x:v>Материалы / запас</x:v>
      </x:c>
      <x:c r="C80" s="8" t="str">
        <x:v>Фиксатор торцевой DIN-рейки</x:v>
      </x:c>
      <x:c r="D80" s="8" t="str">
        <x:v>MTU-S1</x:v>
      </x:c>
      <x:c r="E80" s="8" t="str">
        <x:v>MEYERTEC</x:v>
      </x:c>
      <x:c r="F80" s="10"/>
      <x:c r="G80" s="10"/>
      <x:c r="H80" s="10" t="n">
        <x:v>100</x:v>
      </x:c>
      <x:c r="I80" s="10"/>
      <x:c r="J80" s="8" t="str">
        <x:v>шт.</x:v>
      </x:c>
      <x:c r="K80" s="8" t="str">
        <x:v>Общий комплект</x:v>
      </x:c>
      <x:c r="L80" s="8" t="str"/>
    </x:row>
    <x:row r="81" ht="31" hidden="0" customHeight="1">
      <x:c r="A81" s="8" t="n">
        <x:v>77</x:v>
      </x:c>
      <x:c r="B81" s="8" t="str">
        <x:v>FU1–FU10 (держатели)</x:v>
      </x:c>
      <x:c r="C81" s="8" t="str">
        <x:v>Клемма с держателем предохранителя 5×20 мм, 10 А, без индикации</x:v>
      </x:c>
      <x:c r="D81" s="8" t="str">
        <x:v>AF-CT44-00-K03-004</x:v>
      </x:c>
      <x:c r="E81" s="8" t="str">
        <x:v>IEK</x:v>
      </x:c>
      <x:c r="F81" s="10" t="n">
        <x:v>10</x:v>
      </x:c>
      <x:c r="G81" s="10" t="n">
        <x:f>F81*2</x:f>
        <x:v>20</x:v>
      </x:c>
      <x:c r="H81" s="10" t="n">
        <x:v>20</x:v>
      </x:c>
      <x:c r="I81" s="10" t="n">
        <x:f>H81-G81</x:f>
        <x:v>0</x:v>
      </x:c>
      <x:c r="J81" s="8" t="str">
        <x:v>шт.</x:v>
      </x:c>
      <x:c r="K81" s="8" t="str">
        <x:v>ШС1</x:v>
      </x:c>
      <x:c r="L81" s="8" t="str">
        <x:v>FU1–FU10: по 10 на ШС. Плавкие вставки указаны отдельно.</x:v>
      </x:c>
    </x:row>
    <x:row r="82" ht="31" hidden="0" customHeight="1">
      <x:c r="A82" s="8" t="n">
        <x:v>78</x:v>
      </x:c>
      <x:c r="B82" s="8" t="str">
        <x:v>FU1</x:v>
      </x:c>
      <x:c r="C82" s="8" t="str">
        <x:v>Плавкая вставка T2,5 A, 5×20 мм, 400 В DC</x:v>
      </x:c>
      <x:c r="D82" s="8" t="str">
        <x:v>S505H-2-5-R</x:v>
      </x:c>
      <x:c r="E82" s="8" t="str">
        <x:v>Eaton</x:v>
      </x:c>
      <x:c r="F82" s="10" t="n">
        <x:v>1</x:v>
      </x:c>
      <x:c r="G82" s="10" t="n">
        <x:f>F82*2</x:f>
        <x:v>2</x:v>
      </x:c>
      <x:c r="H82" s="10" t="n">
        <x:v>4</x:v>
      </x:c>
      <x:c r="I82" s="10" t="n">
        <x:f>H82-G82</x:f>
        <x:v>2</x:v>
      </x:c>
      <x:c r="J82" s="8" t="str">
        <x:v>шт.</x:v>
      </x:c>
      <x:c r="K82" s="8" t="str">
        <x:v>ШС1</x:v>
      </x:c>
      <x:c r="L82" s="8" t="str">
        <x:v>FU1: 2 рабочие + 2 ЗИП.</x:v>
      </x:c>
    </x:row>
    <x:row r="83" ht="31" hidden="0" customHeight="1">
      <x:c r="A83" s="8" t="n">
        <x:v>79</x:v>
      </x:c>
      <x:c r="B83" s="8" t="str">
        <x:v>FU2</x:v>
      </x:c>
      <x:c r="C83" s="8" t="str">
        <x:v>Плавкая вставка T0,8 A, 5×20 мм, 400 В DC</x:v>
      </x:c>
      <x:c r="D83" s="8" t="str">
        <x:v>S505H-800-R</x:v>
      </x:c>
      <x:c r="E83" s="8" t="str">
        <x:v>Eaton</x:v>
      </x:c>
      <x:c r="F83" s="10" t="n">
        <x:v>1</x:v>
      </x:c>
      <x:c r="G83" s="10" t="n">
        <x:f>F83*2</x:f>
        <x:v>2</x:v>
      </x:c>
      <x:c r="H83" s="10" t="n">
        <x:v>4</x:v>
      </x:c>
      <x:c r="I83" s="10" t="n">
        <x:f>H83-G83</x:f>
        <x:v>2</x:v>
      </x:c>
      <x:c r="J83" s="8" t="str">
        <x:v>шт.</x:v>
      </x:c>
      <x:c r="K83" s="8" t="str">
        <x:v>ШС1</x:v>
      </x:c>
      <x:c r="L83" s="8" t="str">
        <x:v>FU2: 2 рабочие + 2 ЗИП.</x:v>
      </x:c>
    </x:row>
    <x:row r="84" ht="31" hidden="0" customHeight="1">
      <x:c r="A84" s="8" t="n">
        <x:v>80</x:v>
      </x:c>
      <x:c r="B84" s="8" t="str">
        <x:v>FU3, FU4</x:v>
      </x:c>
      <x:c r="C84" s="8" t="str">
        <x:v>Плавкая вставка T0,5 A, 5×20 мм, 400 В DC</x:v>
      </x:c>
      <x:c r="D84" s="8" t="str">
        <x:v>S505H-500-R</x:v>
      </x:c>
      <x:c r="E84" s="8" t="str">
        <x:v>Eaton</x:v>
      </x:c>
      <x:c r="F84" s="10" t="n">
        <x:v>2</x:v>
      </x:c>
      <x:c r="G84" s="10" t="n">
        <x:f>F84*2</x:f>
        <x:v>4</x:v>
      </x:c>
      <x:c r="H84" s="10" t="n">
        <x:v>6</x:v>
      </x:c>
      <x:c r="I84" s="10" t="n">
        <x:f>H84-G84</x:f>
        <x:v>2</x:v>
      </x:c>
      <x:c r="J84" s="8" t="str">
        <x:v>шт.</x:v>
      </x:c>
      <x:c r="K84" s="8" t="str">
        <x:v>ШС1</x:v>
      </x:c>
      <x:c r="L84" s="8" t="str">
        <x:v>FU3 и FU4: 4 рабочие + 2 ЗИП.</x:v>
      </x:c>
    </x:row>
    <x:row r="85" ht="31" hidden="0" customHeight="1">
      <x:c r="A85" s="8" t="n">
        <x:v>81</x:v>
      </x:c>
      <x:c r="B85" s="8" t="str">
        <x:v>FU5</x:v>
      </x:c>
      <x:c r="C85" s="8" t="str">
        <x:v>Плавкая вставка T2 A, 5×20 мм, 400 В DC</x:v>
      </x:c>
      <x:c r="D85" s="8" t="str">
        <x:v>S505H-2-R</x:v>
      </x:c>
      <x:c r="E85" s="8" t="str">
        <x:v>Eaton</x:v>
      </x:c>
      <x:c r="F85" s="10" t="n">
        <x:v>1</x:v>
      </x:c>
      <x:c r="G85" s="10" t="n">
        <x:f>F85*2</x:f>
        <x:v>2</x:v>
      </x:c>
      <x:c r="H85" s="10" t="n">
        <x:v>4</x:v>
      </x:c>
      <x:c r="I85" s="10" t="n">
        <x:f>H85-G85</x:f>
        <x:v>2</x:v>
      </x:c>
      <x:c r="J85" s="8" t="str">
        <x:v>шт.</x:v>
      </x:c>
      <x:c r="K85" s="8" t="str">
        <x:v>ШС1</x:v>
      </x:c>
      <x:c r="L85" s="8" t="str">
        <x:v>FU5: 2 рабочие + 2 ЗИП.</x:v>
      </x:c>
    </x:row>
    <x:row r="86" ht="31" hidden="0" customHeight="1">
      <x:c r="A86" s="8" t="n">
        <x:v>82</x:v>
      </x:c>
      <x:c r="B86" s="8" t="str">
        <x:v>FU6</x:v>
      </x:c>
      <x:c r="C86" s="8" t="str">
        <x:v>Плавкая вставка T1 A, 5×20 мм, 400 В DC</x:v>
      </x:c>
      <x:c r="D86" s="8" t="str">
        <x:v>S505H-1-R</x:v>
      </x:c>
      <x:c r="E86" s="8" t="str">
        <x:v>Eaton</x:v>
      </x:c>
      <x:c r="F86" s="10" t="n">
        <x:v>1</x:v>
      </x:c>
      <x:c r="G86" s="10" t="n">
        <x:f>F86*2</x:f>
        <x:v>2</x:v>
      </x:c>
      <x:c r="H86" s="10" t="n">
        <x:v>4</x:v>
      </x:c>
      <x:c r="I86" s="10" t="n">
        <x:f>H86-G86</x:f>
        <x:v>2</x:v>
      </x:c>
      <x:c r="J86" s="8" t="str">
        <x:v>шт.</x:v>
      </x:c>
      <x:c r="K86" s="8" t="str">
        <x:v>ШС1</x:v>
      </x:c>
      <x:c r="L86" s="8" t="str">
        <x:v>FU6: 2 рабочие + 2 ЗИП.</x:v>
      </x:c>
    </x:row>
    <x:row r="87" ht="31" hidden="0" customHeight="1">
      <x:c r="A87" s="8" t="n">
        <x:v>83</x:v>
      </x:c>
      <x:c r="B87" s="8" t="str">
        <x:v>FU7–FU10</x:v>
      </x:c>
      <x:c r="C87" s="8" t="str">
        <x:v>Плавкая вставка T8 A, 5×20 мм, 400 В DC</x:v>
      </x:c>
      <x:c r="D87" s="8" t="str">
        <x:v>S505H-8-R</x:v>
      </x:c>
      <x:c r="E87" s="8" t="str">
        <x:v>Eaton</x:v>
      </x:c>
      <x:c r="F87" s="10" t="n">
        <x:v>4</x:v>
      </x:c>
      <x:c r="G87" s="10" t="n">
        <x:f>F87*2</x:f>
        <x:v>8</x:v>
      </x:c>
      <x:c r="H87" s="10" t="n">
        <x:v>10</x:v>
      </x:c>
      <x:c r="I87" s="10" t="n">
        <x:f>H87-G87</x:f>
        <x:v>2</x:v>
      </x:c>
      <x:c r="J87" s="8" t="str">
        <x:v>шт.</x:v>
      </x:c>
      <x:c r="K87" s="8" t="str">
        <x:v>ШС1</x:v>
      </x:c>
      <x:c r="L87" s="8" t="str">
        <x:v>FU7–FU10: 8 рабочих + 2 ЗИП.</x:v>
      </x:c>
    </x:row>
    <x:row r="88" ht="31.399999618530273" hidden="0" customHeight="1">
      <x:c r="A88" s="8" t="n">
        <x:v>84</x:v>
      </x:c>
      <x:c r="B88" s="8" t="str">
        <x:v>Материалы / запас</x:v>
      </x:c>
      <x:c r="C88" s="8" t="str">
        <x:v>Провод ПуГВнг(А)-LS 1×6 мм², белый</x:v>
      </x:c>
      <x:c r="D88" s="8" t="str">
        <x:v>ПуГВнг(А)-LS 1×6 белый</x:v>
      </x:c>
      <x:c r="E88" s="8" t="str">
        <x:v>Кабельный завод</x:v>
      </x:c>
      <x:c r="F88" s="10"/>
      <x:c r="G88" s="10"/>
      <x:c r="H88" s="10" t="n">
        <x:v>45</x:v>
      </x:c>
      <x:c r="I88" s="10"/>
      <x:c r="J88" s="8" t="str">
        <x:v>м</x:v>
      </x:c>
      <x:c r="K88" s="8" t="str">
        <x:v>Общий комплект</x:v>
      </x:c>
      <x:c r="L88" s="8" t="str">
        <x:v>Внутренние фазные силовые цепи: QS1, QF0, XL, QF1, KM1, ПЧ и двигатель. Защита ввода C40.</x:v>
      </x:c>
    </x:row>
    <x:row r="89" ht="31" hidden="0" customHeight="1">
      <x:c r="A89" s="8" t="n">
        <x:v>85</x:v>
      </x:c>
      <x:c r="B89" s="8" t="str">
        <x:v>Материалы / запас</x:v>
      </x:c>
      <x:c r="C89" s="8" t="str">
        <x:v>Провод ПуГВнг(А)-LS 1×6 мм², синий</x:v>
      </x:c>
      <x:c r="D89" s="8" t="str">
        <x:v>ПуГВнг(А)-LS 1×6 синий</x:v>
      </x:c>
      <x:c r="E89" s="8" t="str">
        <x:v>Кабельный завод</x:v>
      </x:c>
      <x:c r="F89" s="10"/>
      <x:c r="G89" s="10"/>
      <x:c r="H89" s="10" t="n">
        <x:v>6</x:v>
      </x:c>
      <x:c r="I89" s="10"/>
      <x:c r="J89" s="8" t="str">
        <x:v>м</x:v>
      </x:c>
      <x:c r="K89" s="8" t="str">
        <x:v>Общий комплект</x:v>
      </x:c>
      <x:c r="L89" s="8" t="str">
        <x:v>Внутренний N: от XT1 к N1 и от N1 к FV1. Внешний ввод W1 остаётся 5G10.</x:v>
      </x:c>
    </x:row>
    <x:row r="90" ht="31.399999618530273" hidden="0" customHeight="1">
      <x:c r="A90" s="8" t="n">
        <x:v>86</x:v>
      </x:c>
      <x:c r="B90" s="8" t="str">
        <x:v>Материалы / запас</x:v>
      </x:c>
      <x:c r="C90" s="8" t="str">
        <x:v>Провод ПуГВнг(А)-LS 1×6 мм², жёлто-зелёный</x:v>
      </x:c>
      <x:c r="D90" s="8" t="str">
        <x:v>ПуГВнг(А)-LS 1×6 ж/з</x:v>
      </x:c>
      <x:c r="E90" s="8" t="str">
        <x:v>Кабельный завод</x:v>
      </x:c>
      <x:c r="F90" s="10"/>
      <x:c r="G90" s="10"/>
      <x:c r="H90" s="10" t="n">
        <x:v>29</x:v>
      </x:c>
      <x:c r="I90" s="10"/>
      <x:c r="J90" s="8" t="str">
        <x:v>м</x:v>
      </x:c>
      <x:c r="K90" s="8" t="str">
        <x:v>Общий комплект</x:v>
      </x:c>
      <x:c r="L90" s="8" t="str">
        <x:v>PE 6 мм²: общие связи, корпус, двери, монтажные платы, двигатель и ПЧ. Принято по решению заказчика от 29.09.2026.</x:v>
      </x:c>
    </x:row>
    <x:row r="91" ht="31.399999618530273" hidden="0" customHeight="1">
      <x:c r="A91" s="8" t="n">
        <x:v>87</x:v>
      </x:c>
      <x:c r="B91" s="8" t="str">
        <x:v>Материалы / запас</x:v>
      </x:c>
      <x:c r="C91" s="8" t="str">
        <x:v>Провод ПуГВнг(А)-LS 1×2,5 мм², белый</x:v>
      </x:c>
      <x:c r="D91" s="8" t="str">
        <x:v>ПуГВнг(А)-LS 1×2,5 белый</x:v>
      </x:c>
      <x:c r="E91" s="8" t="str">
        <x:v>Кабельный завод</x:v>
      </x:c>
      <x:c r="F91" s="10"/>
      <x:c r="G91" s="10"/>
      <x:c r="H91" s="10" t="n">
        <x:v>73</x:v>
      </x:c>
      <x:c r="I91" s="10"/>
      <x:c r="J91" s="8" t="str">
        <x:v>м</x:v>
      </x:c>
      <x:c r="K91" s="8" t="str">
        <x:v>Общий комплект</x:v>
      </x:c>
      <x:c r="L91" s="8" t="str">
        <x:v>Внутренние вспомогательные фазные цепи после автоматов до C10: G1/G2, свет, вентилятор, розетка.</x:v>
      </x:c>
    </x:row>
    <x:row r="92" ht="31" hidden="0" customHeight="1">
      <x:c r="A92" s="8" t="n">
        <x:v>88</x:v>
      </x:c>
      <x:c r="B92" s="8" t="str">
        <x:v>Материалы / запас</x:v>
      </x:c>
      <x:c r="C92" s="8" t="str">
        <x:v>Провод ПуГВнг(А)-LS 1×2,5 мм², синий</x:v>
      </x:c>
      <x:c r="D92" s="8" t="str">
        <x:v>ПуГВнг(А)-LS 1×2,5 синий</x:v>
      </x:c>
      <x:c r="E92" s="8" t="str">
        <x:v>Кабельный завод</x:v>
      </x:c>
      <x:c r="F92" s="10"/>
      <x:c r="G92" s="10"/>
      <x:c r="H92" s="10" t="n">
        <x:v>32</x:v>
      </x:c>
      <x:c r="I92" s="10"/>
      <x:c r="J92" s="8" t="str">
        <x:v>м</x:v>
      </x:c>
      <x:c r="K92" s="8" t="str">
        <x:v>Общий комплект</x:v>
      </x:c>
      <x:c r="L92" s="8" t="str">
        <x:v>Нейтраль N вспомогательных цепей AC. В цепях 0 В DC синий не применять.</x:v>
      </x:c>
    </x:row>
    <x:row r="93" ht="31.399999618530273" hidden="0" customHeight="1">
      <x:c r="A93" s="8" t="n">
        <x:v>89</x:v>
      </x:c>
      <x:c r="B93" s="8" t="str">
        <x:v>Материалы / запас</x:v>
      </x:c>
      <x:c r="C93" s="8" t="str">
        <x:v>Провод ПуГВнг(А)-LS 1×2,5 мм², жёлто-зелёный</x:v>
      </x:c>
      <x:c r="D93" s="8" t="str">
        <x:v>ПуГВнг(А)-LS 1×2,5 ж/з</x:v>
      </x:c>
      <x:c r="E93" s="8" t="str">
        <x:v>Кабельный завод</x:v>
      </x:c>
      <x:c r="F93" s="10"/>
      <x:c r="G93" s="10"/>
      <x:c r="H93" s="10" t="n">
        <x:v>58</x:v>
      </x:c>
      <x:c r="I93" s="10"/>
      <x:c r="J93" s="8" t="str">
        <x:v>м</x:v>
      </x:c>
      <x:c r="K93" s="8" t="str">
        <x:v>Общий комплект</x:v>
      </x:c>
      <x:c r="L93" s="8" t="str">
        <x:v>PE-распределение и ответвления к аппаратам. Допустимость каждого зажима проверить при актуализации схем.</x:v>
      </x:c>
    </x:row>
    <x:row r="94" ht="31" hidden="0" customHeight="1">
      <x:c r="A94" s="8" t="n">
        <x:v>90</x:v>
      </x:c>
      <x:c r="B94" s="8" t="str">
        <x:v>Материалы / запас</x:v>
      </x:c>
      <x:c r="C94" s="8" t="str">
        <x:v>Провод ПуГВнг(А)-LS 1×2,5 мм², красный</x:v>
      </x:c>
      <x:c r="D94" s="8" t="str">
        <x:v>ПуГВнг(А)-LS 1×2,5 красный</x:v>
      </x:c>
      <x:c r="E94" s="8" t="str">
        <x:v>Кабельный завод</x:v>
      </x:c>
      <x:c r="F94" s="10"/>
      <x:c r="G94" s="10"/>
      <x:c r="H94" s="10" t="n">
        <x:v>51</x:v>
      </x:c>
      <x:c r="I94" s="10"/>
      <x:c r="J94" s="8" t="str">
        <x:v>м</x:v>
      </x:c>
      <x:c r="K94" s="8" t="str">
        <x:v>Общий комплект</x:v>
      </x:c>
      <x:c r="L94" s="8" t="str">
        <x:v>+24 В DC: распределение питания и исполнительные цепи.</x:v>
      </x:c>
    </x:row>
    <x:row r="95" ht="31.399999618530273" hidden="0" customHeight="1">
      <x:c r="A95" s="8" t="n">
        <x:v>91</x:v>
      </x:c>
      <x:c r="B95" s="8" t="str">
        <x:v>Материалы / запас</x:v>
      </x:c>
      <x:c r="C95" s="8" t="str">
        <x:v>Провод ПуГВнг(А)-LS 1×2,5 мм², чёрный</x:v>
      </x:c>
      <x:c r="D95" s="8" t="str">
        <x:v>ПуГВнг(А)-LS 1×2,5 чёрный</x:v>
      </x:c>
      <x:c r="E95" s="8" t="str">
        <x:v>Кабельный завод</x:v>
      </x:c>
      <x:c r="F95" s="10"/>
      <x:c r="G95" s="10"/>
      <x:c r="H95" s="10" t="n">
        <x:v>46</x:v>
      </x:c>
      <x:c r="I95" s="10"/>
      <x:c r="J95" s="8" t="str">
        <x:v>м</x:v>
      </x:c>
      <x:c r="K95" s="8" t="str">
        <x:v>Общий комплект</x:v>
      </x:c>
      <x:c r="L95" s="8" t="str">
        <x:v>0 В DC: распределение питания и исполнительные цепи, включая G2:−V — XD2 и связь с PE1.</x:v>
      </x:c>
    </x:row>
    <x:row r="96" ht="31.399999618530273" hidden="0" customHeight="1">
      <x:c r="A96" s="8" t="n">
        <x:v>92</x:v>
      </x:c>
      <x:c r="B96" s="8" t="str">
        <x:v>Материалы / запас</x:v>
      </x:c>
      <x:c r="C96" s="8" t="str">
        <x:v>Провод ПуГВнг(А)-LS 1×0,75 мм², красный</x:v>
      </x:c>
      <x:c r="D96" s="8" t="str">
        <x:v>ПуГВнг(А)-LS 1×0,75 красный</x:v>
      </x:c>
      <x:c r="E96" s="8" t="str">
        <x:v>Кабельный завод</x:v>
      </x:c>
      <x:c r="F96" s="10"/>
      <x:c r="G96" s="10"/>
      <x:c r="H96" s="10" t="n">
        <x:v>311</x:v>
      </x:c>
      <x:c r="I96" s="10"/>
      <x:c r="J96" s="8" t="str">
        <x:v>м</x:v>
      </x:c>
      <x:c r="K96" s="8" t="str">
        <x:v>Общий комплект</x:v>
      </x:c>
      <x:c r="L96" s="8" t="str">
        <x:v>+24 В DC и коммутируемые положительные цепи управления. Для A3 предусмотрен отдельный провод 24 AWG.</x:v>
      </x:c>
    </x:row>
    <x:row r="97" ht="31.399999618530273" hidden="0" customHeight="1">
      <x:c r="A97" s="8" t="n">
        <x:v>93</x:v>
      </x:c>
      <x:c r="B97" s="8" t="str">
        <x:v>Материалы / запас</x:v>
      </x:c>
      <x:c r="C97" s="8" t="str">
        <x:v>Провод ПуГВнг(А)-LS 1×0,75 мм², чёрный</x:v>
      </x:c>
      <x:c r="D97" s="8" t="str">
        <x:v>ПуГВнг(А)-LS 1×0,75 чёрный</x:v>
      </x:c>
      <x:c r="E97" s="8" t="str">
        <x:v>Кабельный завод</x:v>
      </x:c>
      <x:c r="F97" s="10"/>
      <x:c r="G97" s="10"/>
      <x:c r="H97" s="10" t="n">
        <x:v>124</x:v>
      </x:c>
      <x:c r="I97" s="10"/>
      <x:c r="J97" s="8" t="str">
        <x:v>м</x:v>
      </x:c>
      <x:c r="K97" s="8" t="str">
        <x:v>Общий комплект</x:v>
      </x:c>
      <x:c r="L97" s="8" t="str">
        <x:v>0 В DC и возвратные цепи управления. Для A3 предусмотрен отдельный провод 24 AWG.</x:v>
      </x:c>
    </x:row>
    <x:row r="98" ht="44.599998474121094" hidden="0" customHeight="1">
      <x:c r="A98" s="8" t="n">
        <x:v>94</x:v>
      </x:c>
      <x:c r="B98" s="8" t="str">
        <x:v>Материалы / запас</x:v>
      </x:c>
      <x:c r="C98" s="8" t="str">
        <x:v>Провод монтажный однопроволочный, 24 AWG (≈0,205 мм²), белый, катушка 30,48 м</x:v>
      </x:c>
      <x:c r="D98" s="8" t="str">
        <x:v>3050/1 WH005</x:v>
      </x:c>
      <x:c r="E98" s="8" t="str">
        <x:v>Alpha Wire</x:v>
      </x:c>
      <x:c r="F98" s="10"/>
      <x:c r="G98" s="10"/>
      <x:c r="H98" s="10" t="n">
        <x:v>1</x:v>
      </x:c>
      <x:c r="I98" s="10"/>
      <x:c r="J98" s="8" t="str">
        <x:v>кат.</x:v>
      </x:c>
      <x:c r="K98" s="8" t="str">
        <x:v>Общий комплект</x:v>
      </x:c>
      <x:c r="L98" s="8" t="str">
        <x:v>Один тип для неподвижных подключений A3: питание, FE, сигнальные цепи и перемычки. Монолитная лужёная жила; идентификация цепи и функции на концах. WA1 — отдельная экранированная пара из имеющихся материалов.</x:v>
      </x:c>
    </x:row>
    <x:row r="99" ht="31" hidden="0" customHeight="1">
      <x:c r="A99" s="8" t="n">
        <x:v>95</x:v>
      </x:c>
      <x:c r="B99" s="8" t="str">
        <x:v>Материалы / запас</x:v>
      </x:c>
      <x:c r="C99" s="8" t="str">
        <x:v>Наконечник НШВИ 0,75–8</x:v>
      </x:c>
      <x:c r="D99" s="8" t="str">
        <x:v>НШВИ 0,75–8</x:v>
      </x:c>
      <x:c r="E99" s="8" t="str">
        <x:v>КВТ</x:v>
      </x:c>
      <x:c r="F99" s="10"/>
      <x:c r="G99" s="10"/>
      <x:c r="H99" s="10" t="n">
        <x:v>900</x:v>
      </x:c>
      <x:c r="I99" s="10"/>
      <x:c r="J99" s="8" t="str">
        <x:v>шт.</x:v>
      </x:c>
      <x:c r="K99" s="8" t="str">
        <x:v>Общий комплект</x:v>
      </x:c>
      <x:c r="L99" s="8" t="str">
        <x:v>Монтажный запас для провода 0,75 мм².</x:v>
      </x:c>
    </x:row>
    <x:row r="100" ht="31" hidden="0" customHeight="1">
      <x:c r="A100" s="8" t="n">
        <x:v>96</x:v>
      </x:c>
      <x:c r="B100" s="8" t="str">
        <x:v>Материалы / запас</x:v>
      </x:c>
      <x:c r="C100" s="8" t="str">
        <x:v>Наконечник НШВИ(2) 0,75–8</x:v>
      </x:c>
      <x:c r="D100" s="8" t="str">
        <x:v>НШВИ(2) 0,75–8</x:v>
      </x:c>
      <x:c r="E100" s="8" t="str">
        <x:v>КВТ</x:v>
      </x:c>
      <x:c r="F100" s="10"/>
      <x:c r="G100" s="10"/>
      <x:c r="H100" s="10" t="n">
        <x:v>150</x:v>
      </x:c>
      <x:c r="I100" s="10"/>
      <x:c r="J100" s="8" t="str">
        <x:v>шт.</x:v>
      </x:c>
      <x:c r="K100" s="8" t="str">
        <x:v>Общий комплект</x:v>
      </x:c>
      <x:c r="L100" s="8" t="str">
        <x:v>Монтажный запас. Способ оконцевания в схемах не задаётся.</x:v>
      </x:c>
    </x:row>
    <x:row r="101" ht="31" hidden="0" customHeight="1">
      <x:c r="A101" s="8" t="n">
        <x:v>97</x:v>
      </x:c>
      <x:c r="B101" s="8" t="str">
        <x:v>Материалы / запас</x:v>
      </x:c>
      <x:c r="C101" s="8" t="str">
        <x:v>Наконечник НШВИ(2) 2,5–10</x:v>
      </x:c>
      <x:c r="D101" s="8" t="str">
        <x:v>79468 / НШВИ(2) 2,5–10</x:v>
      </x:c>
      <x:c r="E101" s="8" t="str">
        <x:v>КВТ</x:v>
      </x:c>
      <x:c r="F101" s="10"/>
      <x:c r="G101" s="10"/>
      <x:c r="H101" s="10" t="n">
        <x:v>50</x:v>
      </x:c>
      <x:c r="I101" s="10"/>
      <x:c r="J101" s="8" t="str">
        <x:v>шт.</x:v>
      </x:c>
      <x:c r="K101" s="8" t="str">
        <x:v>Общий комплект</x:v>
      </x:c>
      <x:c r="L101" s="8" t="str">
        <x:v>Монтажный запас. Способ оконцевания в схемах не задаётся.</x:v>
      </x:c>
    </x:row>
    <x:row r="102" ht="31" hidden="0" customHeight="1">
      <x:c r="A102" s="8" t="n">
        <x:v>98</x:v>
      </x:c>
      <x:c r="B102" s="8" t="str">
        <x:v>Материалы / запас</x:v>
      </x:c>
      <x:c r="C102" s="8" t="str">
        <x:v>Наконечник НШВИ 2,5–8</x:v>
      </x:c>
      <x:c r="D102" s="8" t="str">
        <x:v>НШВИ 2,5–8</x:v>
      </x:c>
      <x:c r="E102" s="8" t="str">
        <x:v>КВТ</x:v>
      </x:c>
      <x:c r="F102" s="10"/>
      <x:c r="G102" s="10"/>
      <x:c r="H102" s="10" t="n">
        <x:v>400</x:v>
      </x:c>
      <x:c r="I102" s="10"/>
      <x:c r="J102" s="8" t="str">
        <x:v>шт.</x:v>
      </x:c>
      <x:c r="K102" s="8" t="str">
        <x:v>Общий комплект</x:v>
      </x:c>
      <x:c r="L102" s="8" t="str">
        <x:v>Монтажный запас для провода 2,5 мм².</x:v>
      </x:c>
    </x:row>
    <x:row r="103" ht="31" hidden="0" customHeight="1">
      <x:c r="A103" s="8" t="n">
        <x:v>99</x:v>
      </x:c>
      <x:c r="B103" s="8" t="str">
        <x:v>Материалы / запас</x:v>
      </x:c>
      <x:c r="C103" s="8" t="str">
        <x:v>Наконечник НШВИ 6–12</x:v>
      </x:c>
      <x:c r="D103" s="8" t="str">
        <x:v>НШВИ 6–12</x:v>
      </x:c>
      <x:c r="E103" s="8" t="str">
        <x:v>КВТ</x:v>
      </x:c>
      <x:c r="F103" s="10"/>
      <x:c r="G103" s="10"/>
      <x:c r="H103" s="10" t="n">
        <x:v>100</x:v>
      </x:c>
      <x:c r="I103" s="10"/>
      <x:c r="J103" s="8" t="str">
        <x:v>шт.</x:v>
      </x:c>
      <x:c r="K103" s="8" t="str">
        <x:v>Общий комплект</x:v>
      </x:c>
      <x:c r="L103" s="8" t="str">
        <x:v>Монтажный запас для провода 6 мм², включая PE ПЧ.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4" hidden="0" customWidth="1"/>
    <x:col min="4" max="4" width="22" hidden="0" customWidth="1"/>
    <x:col min="5" max="5" width="12" hidden="0" customWidth="1"/>
    <x:col min="6" max="6" width="75" hidden="0" customWidth="1"/>
  </x:cols>
  <x:sheetData>
    <x:row r="1" ht="28" customHeight="1">
      <x:c r="A1" s="5" t="str">
        <x:v>X2002 — заводская маркировка ПЛК и модулей</x:v>
      </x:c>
      <x:c r="B1" s="5"/>
      <x:c r="C1" s="5"/>
      <x:c r="D1" s="5"/>
      <x:c r="E1" s="5"/>
      <x:c r="F1" s="5"/>
    </x:row>
    <x:row r="2" ht="44" customHeight="1">
      <x:c r="A2" s="4" t="str">
        <x:v>Вид спереди. Л / П — левый / правый ряд, число — позиция сверху. Программный адрес приведён отдельно от заводской маркировки.</x:v>
      </x:c>
      <x:c r="B2" s="4"/>
      <x:c r="C2" s="4"/>
      <x:c r="D2" s="4"/>
      <x:c r="E2" s="4"/>
      <x:c r="F2" s="4"/>
    </x:row>
    <x:row r="3">
      <x:c r="A3" s="4"/>
      <x:c r="B3" s="4"/>
      <x:c r="C3" s="4"/>
      <x:c r="D3" s="4"/>
      <x:c r="E3" s="4"/>
      <x:c r="F3" s="4"/>
    </x:row>
    <x:row r="4" ht="31" hidden="0" customHeight="1">
      <x:c r="A4" s="7" t="str">
        <x:v>Аппарат</x:v>
      </x:c>
      <x:c r="B4" s="7" t="str">
        <x:v>Позиция</x:v>
      </x:c>
      <x:c r="C4" s="7" t="str">
        <x:v>Надпись на устройстве</x:v>
      </x:c>
      <x:c r="D4" s="7" t="str">
        <x:v>Адрес программы</x:v>
      </x:c>
      <x:c r="E4" s="7" t="str">
        <x:v>Цепь</x:v>
      </x:c>
      <x:c r="F4" s="7" t="str">
        <x:v>Непосредственное соединение</x:v>
      </x:c>
    </x:row>
    <x:row r="5" ht="31" hidden="0" customHeight="1">
      <x:c r="A5" s="8" t="str">
        <x:v>A1</x:v>
      </x:c>
      <x:c r="B5" s="8" t="str">
        <x:v>Л01</x:v>
      </x:c>
      <x:c r="C5" s="8" t="str">
        <x:v>S/S</x:v>
      </x:c>
      <x:c r="D5" s="8" t="str"/>
      <x:c r="E5" s="8" t="str">
        <x:v>2</x:v>
      </x:c>
      <x:c r="F5" s="8" t="str">
        <x:v>A1:C0 [П06]; A1:S/S [П01]</x:v>
      </x:c>
    </x:row>
    <x:row r="6" ht="31" hidden="0" customHeight="1">
      <x:c r="A6" s="8" t="str">
        <x:v>A1</x:v>
      </x:c>
      <x:c r="B6" s="8" t="str">
        <x:v>Л02</x:v>
      </x:c>
      <x:c r="C6" s="8" t="str">
        <x:v>X0</x:v>
      </x:c>
      <x:c r="D6" s="8" t="str">
        <x:v>X0.0</x:v>
      </x:c>
      <x:c r="E6" s="8" t="str">
        <x:v>20</x:v>
      </x:c>
      <x:c r="F6" s="8" t="str">
        <x:v>XT9:3</x:v>
      </x:c>
    </x:row>
    <x:row r="7" ht="31" hidden="0" customHeight="1">
      <x:c r="A7" s="8" t="str">
        <x:v>A1</x:v>
      </x:c>
      <x:c r="B7" s="8" t="str">
        <x:v>Л03</x:v>
      </x:c>
      <x:c r="C7" s="8" t="str">
        <x:v>X2</x:v>
      </x:c>
      <x:c r="D7" s="8" t="str">
        <x:v>X0.2</x:v>
      </x:c>
      <x:c r="E7" s="8" t="str">
        <x:v>22</x:v>
      </x:c>
      <x:c r="F7" s="8" t="str">
        <x:v>XT9:5</x:v>
      </x:c>
    </x:row>
    <x:row r="8" ht="31" hidden="0" customHeight="1">
      <x:c r="A8" s="8" t="str">
        <x:v>A1</x:v>
      </x:c>
      <x:c r="B8" s="8" t="str">
        <x:v>Л04</x:v>
      </x:c>
      <x:c r="C8" s="8" t="str">
        <x:v>X4</x:v>
      </x:c>
      <x:c r="D8" s="8" t="str">
        <x:v>X0.4</x:v>
      </x:c>
      <x:c r="E8" s="8" t="str">
        <x:v>24</x:v>
      </x:c>
      <x:c r="F8" s="8" t="str">
        <x:v>XT9:7</x:v>
      </x:c>
    </x:row>
    <x:row r="9" ht="31" hidden="0" customHeight="1">
      <x:c r="A9" s="8" t="str">
        <x:v>A1</x:v>
      </x:c>
      <x:c r="B9" s="8" t="str">
        <x:v>Л05</x:v>
      </x:c>
      <x:c r="C9" s="8" t="str">
        <x:v>X6</x:v>
      </x:c>
      <x:c r="D9" s="8" t="str">
        <x:v>X0.6</x:v>
      </x:c>
      <x:c r="E9" s="8" t="str">
        <x:v>26</x:v>
      </x:c>
      <x:c r="F9" s="8" t="str">
        <x:v>XT2:5</x:v>
      </x:c>
    </x:row>
    <x:row r="10" ht="31" hidden="0" customHeight="1">
      <x:c r="A10" s="8" t="str">
        <x:v>A1</x:v>
      </x:c>
      <x:c r="B10" s="8" t="str">
        <x:v>Л06</x:v>
      </x:c>
      <x:c r="C10" s="8" t="str">
        <x:v>C0</x:v>
      </x:c>
      <x:c r="D10" s="8" t="str"/>
      <x:c r="E10" s="8" t="str">
        <x:v>2</x:v>
      </x:c>
      <x:c r="F10" s="8" t="str">
        <x:v>A1:C0 [П06]; XD2:01b</x:v>
      </x:c>
    </x:row>
    <x:row r="11" ht="31" hidden="0" customHeight="1">
      <x:c r="A11" s="8" t="str">
        <x:v>A1</x:v>
      </x:c>
      <x:c r="B11" s="8" t="str">
        <x:v>Л07</x:v>
      </x:c>
      <x:c r="C11" s="8" t="str">
        <x:v>Y0</x:v>
      </x:c>
      <x:c r="D11" s="8" t="str">
        <x:v>Y0.0</x:v>
      </x:c>
      <x:c r="E11" s="8" t="str">
        <x:v>50</x:v>
      </x:c>
      <x:c r="F11" s="8" t="str">
        <x:v>K1:A2</x:v>
      </x:c>
    </x:row>
    <x:row r="12" ht="31" hidden="0" customHeight="1">
      <x:c r="A12" s="8" t="str">
        <x:v>A1</x:v>
      </x:c>
      <x:c r="B12" s="8" t="str">
        <x:v>Л08</x:v>
      </x:c>
      <x:c r="C12" s="8" t="str">
        <x:v>Y2</x:v>
      </x:c>
      <x:c r="D12" s="8" t="str">
        <x:v>Y0.2</x:v>
      </x:c>
      <x:c r="E12" s="8" t="str">
        <x:v>52</x:v>
      </x:c>
      <x:c r="F12" s="8" t="str">
        <x:v>K3:A2</x:v>
      </x:c>
    </x:row>
    <x:row r="13" ht="31" hidden="0" customHeight="1">
      <x:c r="A13" s="8" t="str">
        <x:v>A1</x:v>
      </x:c>
      <x:c r="B13" s="8" t="str">
        <x:v>Л09</x:v>
      </x:c>
      <x:c r="C13" s="8" t="str">
        <x:v>Y4</x:v>
      </x:c>
      <x:c r="D13" s="8" t="str">
        <x:v>Y0.4</x:v>
      </x:c>
      <x:c r="E13" s="8" t="str">
        <x:v>54</x:v>
      </x:c>
      <x:c r="F13" s="8" t="str">
        <x:v>K5:A2</x:v>
      </x:c>
    </x:row>
    <x:row r="14" ht="31" hidden="0" customHeight="1">
      <x:c r="A14" s="8" t="str">
        <x:v>A1</x:v>
      </x:c>
      <x:c r="B14" s="8" t="str">
        <x:v>Л10</x:v>
      </x:c>
      <x:c r="C14" s="8" t="str">
        <x:v>Y6</x:v>
      </x:c>
      <x:c r="D14" s="8" t="str">
        <x:v>Y0.6</x:v>
      </x:c>
      <x:c r="E14" s="8" t="str">
        <x:v>56</x:v>
      </x:c>
      <x:c r="F14" s="8" t="str">
        <x:v>K7:A2</x:v>
      </x:c>
    </x:row>
    <x:row r="15" ht="31" hidden="0" customHeight="1">
      <x:c r="A15" s="8" t="str">
        <x:v>A1</x:v>
      </x:c>
      <x:c r="B15" s="8" t="str">
        <x:v>Л11</x:v>
      </x:c>
      <x:c r="C15" s="8" t="str">
        <x:v>Y8</x:v>
      </x:c>
      <x:c r="D15" s="8" t="str">
        <x:v>Y0.8</x:v>
      </x:c>
      <x:c r="E15" s="8" t="str">
        <x:v>58</x:v>
      </x:c>
      <x:c r="F15" s="8" t="str">
        <x:v>K9:A2</x:v>
      </x:c>
    </x:row>
    <x:row r="16" ht="31" hidden="0" customHeight="1">
      <x:c r="A16" s="8" t="str">
        <x:v>A1</x:v>
      </x:c>
      <x:c r="B16" s="8" t="str">
        <x:v>Л12</x:v>
      </x:c>
      <x:c r="C16" s="8" t="str">
        <x:v>Y10</x:v>
      </x:c>
      <x:c r="D16" s="8" t="str">
        <x:v>Y0.10</x:v>
      </x:c>
      <x:c r="E16" s="8" t="str">
        <x:v>60</x:v>
      </x:c>
      <x:c r="F16" s="8" t="str">
        <x:v>K11:A2</x:v>
      </x:c>
    </x:row>
    <x:row r="17" ht="31" hidden="0" customHeight="1">
      <x:c r="A17" s="8" t="str">
        <x:v>A1</x:v>
      </x:c>
      <x:c r="B17" s="8" t="str">
        <x:v>П01</x:v>
      </x:c>
      <x:c r="C17" s="8" t="str">
        <x:v>S/S</x:v>
      </x:c>
      <x:c r="D17" s="8" t="str"/>
      <x:c r="E17" s="8" t="str">
        <x:v>2</x:v>
      </x:c>
      <x:c r="F17" s="8" t="str">
        <x:v>A1:S/S [Л01]</x:v>
      </x:c>
    </x:row>
    <x:row r="18" ht="31" hidden="0" customHeight="1">
      <x:c r="A18" s="8" t="str">
        <x:v>A1</x:v>
      </x:c>
      <x:c r="B18" s="8" t="str">
        <x:v>П02</x:v>
      </x:c>
      <x:c r="C18" s="8" t="str">
        <x:v>X1</x:v>
      </x:c>
      <x:c r="D18" s="8" t="str">
        <x:v>X0.1</x:v>
      </x:c>
      <x:c r="E18" s="8" t="str">
        <x:v>21</x:v>
      </x:c>
      <x:c r="F18" s="8" t="str">
        <x:v>XT9:4</x:v>
      </x:c>
    </x:row>
    <x:row r="19" ht="31" hidden="0" customHeight="1">
      <x:c r="A19" s="8" t="str">
        <x:v>A1</x:v>
      </x:c>
      <x:c r="B19" s="8" t="str">
        <x:v>П03</x:v>
      </x:c>
      <x:c r="C19" s="8" t="str">
        <x:v>X3</x:v>
      </x:c>
      <x:c r="D19" s="8" t="str">
        <x:v>X0.3</x:v>
      </x:c>
      <x:c r="E19" s="8" t="str">
        <x:v>23</x:v>
      </x:c>
      <x:c r="F19" s="8" t="str">
        <x:v>XT9:6</x:v>
      </x:c>
    </x:row>
    <x:row r="20" ht="31" hidden="0" customHeight="1">
      <x:c r="A20" s="8" t="str">
        <x:v>A1</x:v>
      </x:c>
      <x:c r="B20" s="8" t="str">
        <x:v>П04</x:v>
      </x:c>
      <x:c r="C20" s="8" t="str">
        <x:v>X5</x:v>
      </x:c>
      <x:c r="D20" s="8" t="str">
        <x:v>X0.5</x:v>
      </x:c>
      <x:c r="E20" s="8" t="str">
        <x:v>25</x:v>
      </x:c>
      <x:c r="F20" s="8" t="str">
        <x:v>XT2:3</x:v>
      </x:c>
    </x:row>
    <x:row r="21" ht="31" hidden="0" customHeight="1">
      <x:c r="A21" s="8" t="str">
        <x:v>A1</x:v>
      </x:c>
      <x:c r="B21" s="8" t="str">
        <x:v>П05</x:v>
      </x:c>
      <x:c r="C21" s="8" t="str">
        <x:v>X7</x:v>
      </x:c>
      <x:c r="D21" s="8" t="str">
        <x:v>X0.7</x:v>
      </x:c>
      <x:c r="E21" s="8" t="str">
        <x:v>27</x:v>
      </x:c>
      <x:c r="F21" s="8" t="str">
        <x:v>XT2:8</x:v>
      </x:c>
    </x:row>
    <x:row r="22" ht="31" hidden="0" customHeight="1">
      <x:c r="A22" s="8" t="str">
        <x:v>A1</x:v>
      </x:c>
      <x:c r="B22" s="8" t="str">
        <x:v>П06</x:v>
      </x:c>
      <x:c r="C22" s="8" t="str">
        <x:v>C0</x:v>
      </x:c>
      <x:c r="D22" s="8" t="str"/>
      <x:c r="E22" s="8" t="str">
        <x:v>2</x:v>
      </x:c>
      <x:c r="F22" s="8" t="str">
        <x:v>A1:C0 [Л06]; A1:S/S [Л01]</x:v>
      </x:c>
    </x:row>
    <x:row r="23" ht="31" hidden="0" customHeight="1">
      <x:c r="A23" s="8" t="str">
        <x:v>A1</x:v>
      </x:c>
      <x:c r="B23" s="8" t="str">
        <x:v>П07</x:v>
      </x:c>
      <x:c r="C23" s="8" t="str">
        <x:v>Y1</x:v>
      </x:c>
      <x:c r="D23" s="8" t="str">
        <x:v>Y0.1</x:v>
      </x:c>
      <x:c r="E23" s="8" t="str">
        <x:v>51</x:v>
      </x:c>
      <x:c r="F23" s="8" t="str">
        <x:v>K2:A2</x:v>
      </x:c>
    </x:row>
    <x:row r="24" ht="31" hidden="0" customHeight="1">
      <x:c r="A24" s="8" t="str">
        <x:v>A1</x:v>
      </x:c>
      <x:c r="B24" s="8" t="str">
        <x:v>П08</x:v>
      </x:c>
      <x:c r="C24" s="8" t="str">
        <x:v>Y3</x:v>
      </x:c>
      <x:c r="D24" s="8" t="str">
        <x:v>Y0.3</x:v>
      </x:c>
      <x:c r="E24" s="8" t="str">
        <x:v>53</x:v>
      </x:c>
      <x:c r="F24" s="8" t="str">
        <x:v>K4:A2</x:v>
      </x:c>
    </x:row>
    <x:row r="25" ht="31" hidden="0" customHeight="1">
      <x:c r="A25" s="8" t="str">
        <x:v>A1</x:v>
      </x:c>
      <x:c r="B25" s="8" t="str">
        <x:v>П09</x:v>
      </x:c>
      <x:c r="C25" s="8" t="str">
        <x:v>Y5</x:v>
      </x:c>
      <x:c r="D25" s="8" t="str">
        <x:v>Y0.5</x:v>
      </x:c>
      <x:c r="E25" s="8" t="str">
        <x:v>55</x:v>
      </x:c>
      <x:c r="F25" s="8" t="str">
        <x:v>K6:A2</x:v>
      </x:c>
    </x:row>
    <x:row r="26" ht="31" hidden="0" customHeight="1">
      <x:c r="A26" s="8" t="str">
        <x:v>A1</x:v>
      </x:c>
      <x:c r="B26" s="8" t="str">
        <x:v>П10</x:v>
      </x:c>
      <x:c r="C26" s="8" t="str">
        <x:v>Y7</x:v>
      </x:c>
      <x:c r="D26" s="8" t="str">
        <x:v>Y0.7</x:v>
      </x:c>
      <x:c r="E26" s="8" t="str">
        <x:v>57</x:v>
      </x:c>
      <x:c r="F26" s="8" t="str">
        <x:v>K8:A2</x:v>
      </x:c>
    </x:row>
    <x:row r="27" ht="31" hidden="0" customHeight="1">
      <x:c r="A27" s="8" t="str">
        <x:v>A1</x:v>
      </x:c>
      <x:c r="B27" s="8" t="str">
        <x:v>П11</x:v>
      </x:c>
      <x:c r="C27" s="8" t="str">
        <x:v>Y9</x:v>
      </x:c>
      <x:c r="D27" s="8" t="str">
        <x:v>Y0.9</x:v>
      </x:c>
      <x:c r="E27" s="8" t="str">
        <x:v>59</x:v>
      </x:c>
      <x:c r="F27" s="8" t="str">
        <x:v>K10:A2</x:v>
      </x:c>
    </x:row>
    <x:row r="28" ht="31" hidden="0" customHeight="1">
      <x:c r="A28" s="8" t="str">
        <x:v>A1</x:v>
      </x:c>
      <x:c r="B28" s="8" t="str">
        <x:v>П12</x:v>
      </x:c>
      <x:c r="C28" s="8" t="str">
        <x:v>Y11</x:v>
      </x:c>
      <x:c r="D28" s="8" t="str">
        <x:v>Y0.11</x:v>
      </x:c>
      <x:c r="E28" s="8" t="str">
        <x:v>61</x:v>
      </x:c>
      <x:c r="F28" s="8" t="str">
        <x:v>K12:A2</x:v>
      </x:c>
    </x:row>
    <x:row r="29" ht="31" hidden="0" customHeight="1">
      <x:c r="A29" s="8" t="str">
        <x:v>A2</x:v>
      </x:c>
      <x:c r="B29" s="8" t="str">
        <x:v>Л01</x:v>
      </x:c>
      <x:c r="C29" s="8" t="str">
        <x:v>S/S</x:v>
      </x:c>
      <x:c r="D29" s="8" t="str"/>
      <x:c r="E29" s="8" t="str">
        <x:v>2</x:v>
      </x:c>
      <x:c r="F29" s="8" t="str">
        <x:v>A2:S/S [Л02]; XD2:02b</x:v>
      </x:c>
    </x:row>
    <x:row r="30" ht="31" hidden="0" customHeight="1">
      <x:c r="A30" s="8" t="str">
        <x:v>A2</x:v>
      </x:c>
      <x:c r="B30" s="8" t="str">
        <x:v>Л02</x:v>
      </x:c>
      <x:c r="C30" s="8" t="str">
        <x:v>S/S</x:v>
      </x:c>
      <x:c r="D30" s="8" t="str"/>
      <x:c r="E30" s="8" t="str">
        <x:v>2</x:v>
      </x:c>
      <x:c r="F30" s="8" t="str">
        <x:v>A2:S/S [Л01]; A2:S/S [П01]</x:v>
      </x:c>
    </x:row>
    <x:row r="31" ht="31" hidden="0" customHeight="1">
      <x:c r="A31" s="8" t="str">
        <x:v>A2</x:v>
      </x:c>
      <x:c r="B31" s="8" t="str">
        <x:v>Л03</x:v>
      </x:c>
      <x:c r="C31" s="8" t="str">
        <x:v>0</x:v>
      </x:c>
      <x:c r="D31" s="8" t="str">
        <x:v>X1.0</x:v>
      </x:c>
      <x:c r="E31" s="8" t="str">
        <x:v>28</x:v>
      </x:c>
      <x:c r="F31" s="8" t="str">
        <x:v>XT2:11</x:v>
      </x:c>
    </x:row>
    <x:row r="32" ht="31" hidden="0" customHeight="1">
      <x:c r="A32" s="8" t="str">
        <x:v>A2</x:v>
      </x:c>
      <x:c r="B32" s="8" t="str">
        <x:v>Л04</x:v>
      </x:c>
      <x:c r="C32" s="8" t="str">
        <x:v>2</x:v>
      </x:c>
      <x:c r="D32" s="8" t="str">
        <x:v>X1.2</x:v>
      </x:c>
      <x:c r="E32" s="8" t="str">
        <x:v>30</x:v>
      </x:c>
      <x:c r="F32" s="8" t="str">
        <x:v>UZ1:RA</x:v>
      </x:c>
    </x:row>
    <x:row r="33" ht="31" hidden="0" customHeight="1">
      <x:c r="A33" s="8" t="str">
        <x:v>A2</x:v>
      </x:c>
      <x:c r="B33" s="8" t="str">
        <x:v>Л05</x:v>
      </x:c>
      <x:c r="C33" s="8" t="str">
        <x:v>4</x:v>
      </x:c>
      <x:c r="D33" s="8" t="str">
        <x:v>X1.4</x:v>
      </x:c>
      <x:c r="E33" s="8" t="str">
        <x:v>32</x:v>
      </x:c>
      <x:c r="F33" s="8" t="str">
        <x:v>XT2:20</x:v>
      </x:c>
    </x:row>
    <x:row r="34" ht="31" hidden="0" customHeight="1">
      <x:c r="A34" s="8" t="str">
        <x:v>A2</x:v>
      </x:c>
      <x:c r="B34" s="8" t="str">
        <x:v>Л06</x:v>
      </x:c>
      <x:c r="C34" s="8" t="str">
        <x:v>6</x:v>
      </x:c>
      <x:c r="D34" s="8" t="str">
        <x:v>X1.6</x:v>
      </x:c>
      <x:c r="E34" s="8" t="str">
        <x:v>34</x:v>
      </x:c>
      <x:c r="F34" s="8" t="str">
        <x:v>KV1:14</x:v>
      </x:c>
    </x:row>
    <x:row r="35" ht="31" hidden="0" customHeight="1">
      <x:c r="A35" s="8" t="str">
        <x:v>A2</x:v>
      </x:c>
      <x:c r="B35" s="8" t="str">
        <x:v>Л07</x:v>
      </x:c>
      <x:c r="C35" s="8" t="str">
        <x:v>8</x:v>
      </x:c>
      <x:c r="D35" s="8" t="str">
        <x:v>X1.8</x:v>
      </x:c>
      <x:c r="E35" s="8" t="str">
        <x:v>NC</x:v>
      </x:c>
      <x:c r="F35" s="8" t="str">
        <x:v>Свободно</x:v>
      </x:c>
    </x:row>
    <x:row r="36" ht="31" hidden="0" customHeight="1">
      <x:c r="A36" s="8" t="str">
        <x:v>A2</x:v>
      </x:c>
      <x:c r="B36" s="8" t="str">
        <x:v>Л08</x:v>
      </x:c>
      <x:c r="C36" s="8" t="str">
        <x:v>10</x:v>
      </x:c>
      <x:c r="D36" s="8" t="str">
        <x:v>X1.10</x:v>
      </x:c>
      <x:c r="E36" s="8" t="str">
        <x:v>NC</x:v>
      </x:c>
      <x:c r="F36" s="8" t="str">
        <x:v>Свободно</x:v>
      </x:c>
    </x:row>
    <x:row r="37" ht="31" hidden="0" customHeight="1">
      <x:c r="A37" s="8" t="str">
        <x:v>A2</x:v>
      </x:c>
      <x:c r="B37" s="8" t="str">
        <x:v>Л09</x:v>
      </x:c>
      <x:c r="C37" s="8" t="str">
        <x:v>12</x:v>
      </x:c>
      <x:c r="D37" s="8" t="str">
        <x:v>X1.12</x:v>
      </x:c>
      <x:c r="E37" s="8" t="str">
        <x:v>NC</x:v>
      </x:c>
      <x:c r="F37" s="8" t="str">
        <x:v>Свободно</x:v>
      </x:c>
    </x:row>
    <x:row r="38" ht="31" hidden="0" customHeight="1">
      <x:c r="A38" s="8" t="str">
        <x:v>A2</x:v>
      </x:c>
      <x:c r="B38" s="8" t="str">
        <x:v>Л10</x:v>
      </x:c>
      <x:c r="C38" s="8" t="str">
        <x:v>14</x:v>
      </x:c>
      <x:c r="D38" s="8" t="str">
        <x:v>X1.14</x:v>
      </x:c>
      <x:c r="E38" s="8" t="str">
        <x:v>NC</x:v>
      </x:c>
      <x:c r="F38" s="8" t="str">
        <x:v>Свободно</x:v>
      </x:c>
    </x:row>
    <x:row r="39" ht="31" hidden="0" customHeight="1">
      <x:c r="A39" s="8" t="str">
        <x:v>A2</x:v>
      </x:c>
      <x:c r="B39" s="8" t="str">
        <x:v>П01</x:v>
      </x:c>
      <x:c r="C39" s="8" t="str">
        <x:v>S/S</x:v>
      </x:c>
      <x:c r="D39" s="8" t="str"/>
      <x:c r="E39" s="8" t="str">
        <x:v>2</x:v>
      </x:c>
      <x:c r="F39" s="8" t="str">
        <x:v>A2:S/S [Л02]; A2:S/S [П02]</x:v>
      </x:c>
    </x:row>
    <x:row r="40" ht="31" hidden="0" customHeight="1">
      <x:c r="A40" s="8" t="str">
        <x:v>A2</x:v>
      </x:c>
      <x:c r="B40" s="8" t="str">
        <x:v>П02</x:v>
      </x:c>
      <x:c r="C40" s="8" t="str">
        <x:v>S/S</x:v>
      </x:c>
      <x:c r="D40" s="8" t="str"/>
      <x:c r="E40" s="8" t="str">
        <x:v>2</x:v>
      </x:c>
      <x:c r="F40" s="8" t="str">
        <x:v>A2:S/S [П01]</x:v>
      </x:c>
    </x:row>
    <x:row r="41" ht="31" hidden="0" customHeight="1">
      <x:c r="A41" s="8" t="str">
        <x:v>A2</x:v>
      </x:c>
      <x:c r="B41" s="8" t="str">
        <x:v>П03</x:v>
      </x:c>
      <x:c r="C41" s="8" t="str">
        <x:v>1</x:v>
      </x:c>
      <x:c r="D41" s="8" t="str">
        <x:v>X1.1</x:v>
      </x:c>
      <x:c r="E41" s="8" t="str">
        <x:v>29</x:v>
      </x:c>
      <x:c r="F41" s="8" t="str">
        <x:v>XT2:14</x:v>
      </x:c>
    </x:row>
    <x:row r="42" ht="31" hidden="0" customHeight="1">
      <x:c r="A42" s="8" t="str">
        <x:v>A2</x:v>
      </x:c>
      <x:c r="B42" s="8" t="str">
        <x:v>П04</x:v>
      </x:c>
      <x:c r="C42" s="8" t="str">
        <x:v>3</x:v>
      </x:c>
      <x:c r="D42" s="8" t="str">
        <x:v>X1.3</x:v>
      </x:c>
      <x:c r="E42" s="8" t="str">
        <x:v>31</x:v>
      </x:c>
      <x:c r="F42" s="8" t="str">
        <x:v>XT2:17</x:v>
      </x:c>
    </x:row>
    <x:row r="43" ht="31" hidden="0" customHeight="1">
      <x:c r="A43" s="8" t="str">
        <x:v>A2</x:v>
      </x:c>
      <x:c r="B43" s="8" t="str">
        <x:v>П05</x:v>
      </x:c>
      <x:c r="C43" s="8" t="str">
        <x:v>5</x:v>
      </x:c>
      <x:c r="D43" s="8" t="str">
        <x:v>X1.5</x:v>
      </x:c>
      <x:c r="E43" s="8" t="str">
        <x:v>33</x:v>
      </x:c>
      <x:c r="F43" s="8" t="str">
        <x:v>KSR1:X1</x:v>
      </x:c>
    </x:row>
    <x:row r="44" ht="31" hidden="0" customHeight="1">
      <x:c r="A44" s="8" t="str">
        <x:v>A2</x:v>
      </x:c>
      <x:c r="B44" s="8" t="str">
        <x:v>П06</x:v>
      </x:c>
      <x:c r="C44" s="8" t="str">
        <x:v>7</x:v>
      </x:c>
      <x:c r="D44" s="8" t="str">
        <x:v>X1.7</x:v>
      </x:c>
      <x:c r="E44" s="8" t="str">
        <x:v>35</x:v>
      </x:c>
      <x:c r="F44" s="8" t="str">
        <x:v>SQ1:14</x:v>
      </x:c>
    </x:row>
    <x:row r="45" ht="31" hidden="0" customHeight="1">
      <x:c r="A45" s="8" t="str">
        <x:v>A2</x:v>
      </x:c>
      <x:c r="B45" s="8" t="str">
        <x:v>П07</x:v>
      </x:c>
      <x:c r="C45" s="8" t="str">
        <x:v>9</x:v>
      </x:c>
      <x:c r="D45" s="8" t="str">
        <x:v>X1.9</x:v>
      </x:c>
      <x:c r="E45" s="8" t="str">
        <x:v>NC</x:v>
      </x:c>
      <x:c r="F45" s="8" t="str">
        <x:v>Свободно</x:v>
      </x:c>
    </x:row>
    <x:row r="46" ht="31" hidden="0" customHeight="1">
      <x:c r="A46" s="8" t="str">
        <x:v>A2</x:v>
      </x:c>
      <x:c r="B46" s="8" t="str">
        <x:v>П08</x:v>
      </x:c>
      <x:c r="C46" s="8" t="str">
        <x:v>11</x:v>
      </x:c>
      <x:c r="D46" s="8" t="str">
        <x:v>X1.11</x:v>
      </x:c>
      <x:c r="E46" s="8" t="str">
        <x:v>NC</x:v>
      </x:c>
      <x:c r="F46" s="8" t="str">
        <x:v>Свободно</x:v>
      </x:c>
    </x:row>
    <x:row r="47" ht="31" hidden="0" customHeight="1">
      <x:c r="A47" s="8" t="str">
        <x:v>A2</x:v>
      </x:c>
      <x:c r="B47" s="8" t="str">
        <x:v>П09</x:v>
      </x:c>
      <x:c r="C47" s="8" t="str">
        <x:v>13</x:v>
      </x:c>
      <x:c r="D47" s="8" t="str">
        <x:v>X1.13</x:v>
      </x:c>
      <x:c r="E47" s="8" t="str">
        <x:v>NC</x:v>
      </x:c>
      <x:c r="F47" s="8" t="str">
        <x:v>Свободно</x:v>
      </x:c>
    </x:row>
    <x:row r="48" ht="31" hidden="0" customHeight="1">
      <x:c r="A48" s="8" t="str">
        <x:v>A2</x:v>
      </x:c>
      <x:c r="B48" s="8" t="str">
        <x:v>П10</x:v>
      </x:c>
      <x:c r="C48" s="8" t="str">
        <x:v>15</x:v>
      </x:c>
      <x:c r="D48" s="8" t="str">
        <x:v>X1.15</x:v>
      </x:c>
      <x:c r="E48" s="8" t="str">
        <x:v>NC</x:v>
      </x:c>
      <x:c r="F48" s="8" t="str">
        <x:v>Свободно</x:v>
      </x:c>
    </x:row>
    <x:row r="49" ht="31" hidden="0" customHeight="1">
      <x:c r="A49" s="8" t="str">
        <x:v>A3</x:v>
      </x:c>
      <x:c r="B49" s="8" t="str">
        <x:v>Л01</x:v>
      </x:c>
      <x:c r="C49" s="8" t="str">
        <x:v>V1+</x:v>
      </x:c>
      <x:c r="D49" s="8" t="str"/>
      <x:c r="E49" s="8" t="str">
        <x:v>112</x:v>
      </x:c>
      <x:c r="F49" s="8" t="str">
        <x:v>A3:I1+</x:v>
      </x:c>
    </x:row>
    <x:row r="50" ht="31" hidden="0" customHeight="1">
      <x:c r="A50" s="8" t="str">
        <x:v>A3</x:v>
      </x:c>
      <x:c r="B50" s="8" t="str">
        <x:v>Л02</x:v>
      </x:c>
      <x:c r="C50" s="8" t="str">
        <x:v>I1+</x:v>
      </x:c>
      <x:c r="D50" s="8" t="str"/>
      <x:c r="E50" s="8" t="str">
        <x:v>112</x:v>
      </x:c>
      <x:c r="F50" s="8" t="str">
        <x:v>A3:V1+; XT4:2</x:v>
      </x:c>
    </x:row>
    <x:row r="51" ht="31" hidden="0" customHeight="1">
      <x:c r="A51" s="8" t="str">
        <x:v>A3</x:v>
      </x:c>
      <x:c r="B51" s="8" t="str">
        <x:v>Л03</x:v>
      </x:c>
      <x:c r="C51" s="8" t="str">
        <x:v>VI1−</x:v>
      </x:c>
      <x:c r="D51" s="8" t="str"/>
      <x:c r="E51" s="8" t="str">
        <x:v>2</x:v>
      </x:c>
      <x:c r="F51" s="8" t="str">
        <x:v>A3:0V</x:v>
      </x:c>
    </x:row>
    <x:row r="52" ht="31" hidden="0" customHeight="1">
      <x:c r="A52" s="8" t="str">
        <x:v>A3</x:v>
      </x:c>
      <x:c r="B52" s="8" t="str">
        <x:v>Л04</x:v>
      </x:c>
      <x:c r="C52" s="8" t="str">
        <x:v>V3+</x:v>
      </x:c>
      <x:c r="D52" s="8" t="str"/>
      <x:c r="E52" s="8" t="str">
        <x:v>NC</x:v>
      </x:c>
      <x:c r="F52" s="8" t="str">
        <x:v>Свободно</x:v>
      </x:c>
    </x:row>
    <x:row r="53" ht="31" hidden="0" customHeight="1">
      <x:c r="A53" s="8" t="str">
        <x:v>A3</x:v>
      </x:c>
      <x:c r="B53" s="8" t="str">
        <x:v>Л05</x:v>
      </x:c>
      <x:c r="C53" s="8" t="str">
        <x:v>I3+</x:v>
      </x:c>
      <x:c r="D53" s="8" t="str"/>
      <x:c r="E53" s="8" t="str">
        <x:v>NC</x:v>
      </x:c>
      <x:c r="F53" s="8" t="str">
        <x:v>Свободно</x:v>
      </x:c>
    </x:row>
    <x:row r="54" ht="31" hidden="0" customHeight="1">
      <x:c r="A54" s="8" t="str">
        <x:v>A3</x:v>
      </x:c>
      <x:c r="B54" s="8" t="str">
        <x:v>Л06</x:v>
      </x:c>
      <x:c r="C54" s="8" t="str">
        <x:v>VI3−</x:v>
      </x:c>
      <x:c r="D54" s="8" t="str"/>
      <x:c r="E54" s="8" t="str">
        <x:v>NC</x:v>
      </x:c>
      <x:c r="F54" s="8" t="str">
        <x:v>Свободно</x:v>
      </x:c>
    </x:row>
    <x:row r="55" ht="31" hidden="0" customHeight="1">
      <x:c r="A55" s="8" t="str">
        <x:v>A3</x:v>
      </x:c>
      <x:c r="B55" s="8" t="str">
        <x:v>Л07</x:v>
      </x:c>
      <x:c r="C55" s="8" t="str">
        <x:v>VO1</x:v>
      </x:c>
      <x:c r="D55" s="8" t="str"/>
      <x:c r="E55" s="8" t="str">
        <x:v>NC</x:v>
      </x:c>
      <x:c r="F55" s="8" t="str">
        <x:v>Свободно</x:v>
      </x:c>
    </x:row>
    <x:row r="56" ht="31" hidden="0" customHeight="1">
      <x:c r="A56" s="8" t="str">
        <x:v>A3</x:v>
      </x:c>
      <x:c r="B56" s="8" t="str">
        <x:v>Л08</x:v>
      </x:c>
      <x:c r="C56" s="8" t="str">
        <x:v>IO1</x:v>
      </x:c>
      <x:c r="D56" s="8" t="str"/>
      <x:c r="E56" s="8" t="str">
        <x:v>110</x:v>
      </x:c>
      <x:c r="F56" s="8" t="str">
        <x:v>UZ1:ACI</x:v>
      </x:c>
    </x:row>
    <x:row r="57" ht="31" hidden="0" customHeight="1">
      <x:c r="A57" s="8" t="str">
        <x:v>A3</x:v>
      </x:c>
      <x:c r="B57" s="8" t="str">
        <x:v>Л09</x:v>
      </x:c>
      <x:c r="C57" s="8" t="str">
        <x:v>AG</x:v>
      </x:c>
      <x:c r="D57" s="8" t="str"/>
      <x:c r="E57" s="8" t="str">
        <x:v>111</x:v>
      </x:c>
      <x:c r="F57" s="8" t="str">
        <x:v>UZ1:ACM</x:v>
      </x:c>
    </x:row>
    <x:row r="58" ht="31" hidden="0" customHeight="1">
      <x:c r="A58" s="8" t="str">
        <x:v>A3</x:v>
      </x:c>
      <x:c r="B58" s="8" t="str">
        <x:v>Л10</x:v>
      </x:c>
      <x:c r="C58" s="8" t="str">
        <x:v>EARTH</x:v>
      </x:c>
      <x:c r="D58" s="8" t="str"/>
      <x:c r="E58" s="8" t="str">
        <x:v>PE</x:v>
      </x:c>
      <x:c r="F58" s="8" t="str">
        <x:v>XPE1:1b</x:v>
      </x:c>
    </x:row>
    <x:row r="59" ht="31" hidden="0" customHeight="1">
      <x:c r="A59" s="8" t="str">
        <x:v>A3</x:v>
      </x:c>
      <x:c r="B59" s="8" t="str">
        <x:v>П01</x:v>
      </x:c>
      <x:c r="C59" s="8" t="str">
        <x:v>V2+</x:v>
      </x:c>
      <x:c r="D59" s="8" t="str"/>
      <x:c r="E59" s="8" t="str">
        <x:v>NC</x:v>
      </x:c>
      <x:c r="F59" s="8" t="str">
        <x:v>Свободно</x:v>
      </x:c>
    </x:row>
    <x:row r="60" ht="31" hidden="0" customHeight="1">
      <x:c r="A60" s="8" t="str">
        <x:v>A3</x:v>
      </x:c>
      <x:c r="B60" s="8" t="str">
        <x:v>П02</x:v>
      </x:c>
      <x:c r="C60" s="8" t="str">
        <x:v>I2+</x:v>
      </x:c>
      <x:c r="D60" s="8" t="str"/>
      <x:c r="E60" s="8" t="str">
        <x:v>NC</x:v>
      </x:c>
      <x:c r="F60" s="8" t="str">
        <x:v>Свободно</x:v>
      </x:c>
    </x:row>
    <x:row r="61" ht="31" hidden="0" customHeight="1">
      <x:c r="A61" s="8" t="str">
        <x:v>A3</x:v>
      </x:c>
      <x:c r="B61" s="8" t="str">
        <x:v>П03</x:v>
      </x:c>
      <x:c r="C61" s="8" t="str">
        <x:v>VI2−</x:v>
      </x:c>
      <x:c r="D61" s="8" t="str"/>
      <x:c r="E61" s="8" t="str">
        <x:v>NC</x:v>
      </x:c>
      <x:c r="F61" s="8" t="str">
        <x:v>Свободно</x:v>
      </x:c>
    </x:row>
    <x:row r="62" ht="31" hidden="0" customHeight="1">
      <x:c r="A62" s="8" t="str">
        <x:v>A3</x:v>
      </x:c>
      <x:c r="B62" s="8" t="str">
        <x:v>П04</x:v>
      </x:c>
      <x:c r="C62" s="8" t="str">
        <x:v>V4+</x:v>
      </x:c>
      <x:c r="D62" s="8" t="str"/>
      <x:c r="E62" s="8" t="str">
        <x:v>NC</x:v>
      </x:c>
      <x:c r="F62" s="8" t="str">
        <x:v>Свободно</x:v>
      </x:c>
    </x:row>
    <x:row r="63" ht="31" hidden="0" customHeight="1">
      <x:c r="A63" s="8" t="str">
        <x:v>A3</x:v>
      </x:c>
      <x:c r="B63" s="8" t="str">
        <x:v>П05</x:v>
      </x:c>
      <x:c r="C63" s="8" t="str">
        <x:v>I4+</x:v>
      </x:c>
      <x:c r="D63" s="8" t="str"/>
      <x:c r="E63" s="8" t="str">
        <x:v>NC</x:v>
      </x:c>
      <x:c r="F63" s="8" t="str">
        <x:v>Свободно</x:v>
      </x:c>
    </x:row>
    <x:row r="64" ht="31" hidden="0" customHeight="1">
      <x:c r="A64" s="8" t="str">
        <x:v>A3</x:v>
      </x:c>
      <x:c r="B64" s="8" t="str">
        <x:v>П06</x:v>
      </x:c>
      <x:c r="C64" s="8" t="str">
        <x:v>VI4−</x:v>
      </x:c>
      <x:c r="D64" s="8" t="str"/>
      <x:c r="E64" s="8" t="str">
        <x:v>NC</x:v>
      </x:c>
      <x:c r="F64" s="8" t="str">
        <x:v>Свободно</x:v>
      </x:c>
    </x:row>
    <x:row r="65" ht="31" hidden="0" customHeight="1">
      <x:c r="A65" s="8" t="str">
        <x:v>A3</x:v>
      </x:c>
      <x:c r="B65" s="8" t="str">
        <x:v>П07</x:v>
      </x:c>
      <x:c r="C65" s="8" t="str">
        <x:v>VO2</x:v>
      </x:c>
      <x:c r="D65" s="8" t="str"/>
      <x:c r="E65" s="8" t="str">
        <x:v>NC</x:v>
      </x:c>
      <x:c r="F65" s="8" t="str">
        <x:v>Свободно</x:v>
      </x:c>
    </x:row>
    <x:row r="66" ht="31" hidden="0" customHeight="1">
      <x:c r="A66" s="8" t="str">
        <x:v>A3</x:v>
      </x:c>
      <x:c r="B66" s="8" t="str">
        <x:v>П08</x:v>
      </x:c>
      <x:c r="C66" s="8" t="str">
        <x:v>IO2</x:v>
      </x:c>
      <x:c r="D66" s="8" t="str"/>
      <x:c r="E66" s="8" t="str">
        <x:v>NC</x:v>
      </x:c>
      <x:c r="F66" s="8" t="str">
        <x:v>Свободно</x:v>
      </x:c>
    </x:row>
    <x:row r="67" ht="31" hidden="0" customHeight="1">
      <x:c r="A67" s="8" t="str">
        <x:v>A3</x:v>
      </x:c>
      <x:c r="B67" s="8" t="str">
        <x:v>П09</x:v>
      </x:c>
      <x:c r="C67" s="8" t="str">
        <x:v>24V</x:v>
      </x:c>
      <x:c r="D67" s="8" t="str"/>
      <x:c r="E67" s="8" t="str">
        <x:v>5</x:v>
      </x:c>
      <x:c r="F67" s="8" t="str">
        <x:v>XT4:1</x:v>
      </x:c>
    </x:row>
    <x:row r="68" ht="31" hidden="0" customHeight="1">
      <x:c r="A68" s="8" t="str">
        <x:v>A3</x:v>
      </x:c>
      <x:c r="B68" s="8" t="str">
        <x:v>П10</x:v>
      </x:c>
      <x:c r="C68" s="8" t="str">
        <x:v>0V</x:v>
      </x:c>
      <x:c r="D68" s="8" t="str"/>
      <x:c r="E68" s="8" t="str">
        <x:v>2</x:v>
      </x:c>
      <x:c r="F68" s="8" t="str">
        <x:v>A3:VI1−; XD2:03b</x:v>
      </x:c>
    </x:row>
    <x:row r="69" ht="31" hidden="0" customHeight="1">
      <x:c r="A69" s="8" t="str">
        <x:v>A4</x:v>
      </x:c>
      <x:c r="B69" s="8" t="str">
        <x:v>Л01</x:v>
      </x:c>
      <x:c r="C69" s="8" t="str">
        <x:v>S/S</x:v>
      </x:c>
      <x:c r="D69" s="8" t="str"/>
      <x:c r="E69" s="8" t="str">
        <x:v>2</x:v>
      </x:c>
      <x:c r="F69" s="8" t="str">
        <x:v>A4:C0 [П02]; A4:S/S [Л02]</x:v>
      </x:c>
    </x:row>
    <x:row r="70" ht="31" hidden="0" customHeight="1">
      <x:c r="A70" s="8" t="str">
        <x:v>A4</x:v>
      </x:c>
      <x:c r="B70" s="8" t="str">
        <x:v>Л02</x:v>
      </x:c>
      <x:c r="C70" s="8" t="str">
        <x:v>S/S</x:v>
      </x:c>
      <x:c r="D70" s="8" t="str"/>
      <x:c r="E70" s="8" t="str">
        <x:v>2</x:v>
      </x:c>
      <x:c r="F70" s="8" t="str">
        <x:v>A4:S/S [Л01]</x:v>
      </x:c>
    </x:row>
    <x:row r="71" ht="31" hidden="0" customHeight="1">
      <x:c r="A71" s="8" t="str">
        <x:v>A4</x:v>
      </x:c>
      <x:c r="B71" s="8" t="str">
        <x:v>Л03</x:v>
      </x:c>
      <x:c r="C71" s="8" t="str">
        <x:v>0</x:v>
      </x:c>
      <x:c r="D71" s="8" t="str">
        <x:v>X2.0</x:v>
      </x:c>
      <x:c r="E71" s="8" t="str">
        <x:v>36</x:v>
      </x:c>
      <x:c r="F71" s="8" t="str">
        <x:v>XT2:23</x:v>
      </x:c>
    </x:row>
    <x:row r="72" ht="31" hidden="0" customHeight="1">
      <x:c r="A72" s="8" t="str">
        <x:v>A4</x:v>
      </x:c>
      <x:c r="B72" s="8" t="str">
        <x:v>Л04</x:v>
      </x:c>
      <x:c r="C72" s="8" t="str">
        <x:v>1</x:v>
      </x:c>
      <x:c r="D72" s="8" t="str">
        <x:v>X2.1</x:v>
      </x:c>
      <x:c r="E72" s="8" t="str">
        <x:v>37</x:v>
      </x:c>
      <x:c r="F72" s="8" t="str">
        <x:v>XT2:25</x:v>
      </x:c>
    </x:row>
    <x:row r="73" ht="31" hidden="0" customHeight="1">
      <x:c r="A73" s="8" t="str">
        <x:v>A4</x:v>
      </x:c>
      <x:c r="B73" s="8" t="str">
        <x:v>Л05</x:v>
      </x:c>
      <x:c r="C73" s="8" t="str">
        <x:v>2</x:v>
      </x:c>
      <x:c r="D73" s="8" t="str">
        <x:v>X2.2</x:v>
      </x:c>
      <x:c r="E73" s="8" t="str">
        <x:v>38</x:v>
      </x:c>
      <x:c r="F73" s="8" t="str">
        <x:v>XT2:27</x:v>
      </x:c>
    </x:row>
    <x:row r="74" ht="31" hidden="0" customHeight="1">
      <x:c r="A74" s="8" t="str">
        <x:v>A4</x:v>
      </x:c>
      <x:c r="B74" s="8" t="str">
        <x:v>Л06</x:v>
      </x:c>
      <x:c r="C74" s="8" t="str">
        <x:v>3</x:v>
      </x:c>
      <x:c r="D74" s="8" t="str">
        <x:v>X2.3</x:v>
      </x:c>
      <x:c r="E74" s="8" t="str">
        <x:v>39</x:v>
      </x:c>
      <x:c r="F74" s="8" t="str">
        <x:v>XT2:29</x:v>
      </x:c>
    </x:row>
    <x:row r="75" ht="31" hidden="0" customHeight="1">
      <x:c r="A75" s="8" t="str">
        <x:v>A4</x:v>
      </x:c>
      <x:c r="B75" s="8" t="str">
        <x:v>Л07</x:v>
      </x:c>
      <x:c r="C75" s="8" t="str">
        <x:v>4</x:v>
      </x:c>
      <x:c r="D75" s="8" t="str">
        <x:v>X2.4</x:v>
      </x:c>
      <x:c r="E75" s="8" t="str">
        <x:v>40</x:v>
      </x:c>
      <x:c r="F75" s="8" t="str">
        <x:v>KM1:14</x:v>
      </x:c>
    </x:row>
    <x:row r="76" ht="31" hidden="0" customHeight="1">
      <x:c r="A76" s="8" t="str">
        <x:v>A4</x:v>
      </x:c>
      <x:c r="B76" s="8" t="str">
        <x:v>Л08</x:v>
      </x:c>
      <x:c r="C76" s="8" t="str">
        <x:v>5</x:v>
      </x:c>
      <x:c r="D76" s="8" t="str">
        <x:v>X2.5</x:v>
      </x:c>
      <x:c r="E76" s="8" t="str">
        <x:v>41</x:v>
      </x:c>
      <x:c r="F76" s="8" t="str">
        <x:v>SK2:2</x:v>
      </x:c>
    </x:row>
    <x:row r="77" ht="31" hidden="0" customHeight="1">
      <x:c r="A77" s="8" t="str">
        <x:v>A4</x:v>
      </x:c>
      <x:c r="B77" s="8" t="str">
        <x:v>Л09</x:v>
      </x:c>
      <x:c r="C77" s="8" t="str">
        <x:v>6</x:v>
      </x:c>
      <x:c r="D77" s="8" t="str">
        <x:v>X2.6</x:v>
      </x:c>
      <x:c r="E77" s="8" t="str">
        <x:v>NC</x:v>
      </x:c>
      <x:c r="F77" s="8" t="str">
        <x:v>Свободно</x:v>
      </x:c>
    </x:row>
    <x:row r="78" ht="31" hidden="0" customHeight="1">
      <x:c r="A78" s="8" t="str">
        <x:v>A4</x:v>
      </x:c>
      <x:c r="B78" s="8" t="str">
        <x:v>Л10</x:v>
      </x:c>
      <x:c r="C78" s="8" t="str">
        <x:v>7</x:v>
      </x:c>
      <x:c r="D78" s="8" t="str">
        <x:v>X2.7</x:v>
      </x:c>
      <x:c r="E78" s="8" t="str">
        <x:v>NC</x:v>
      </x:c>
      <x:c r="F78" s="8" t="str">
        <x:v>Свободно</x:v>
      </x:c>
    </x:row>
    <x:row r="79" ht="31" hidden="0" customHeight="1">
      <x:c r="A79" s="8" t="str">
        <x:v>A4</x:v>
      </x:c>
      <x:c r="B79" s="8" t="str">
        <x:v>П01</x:v>
      </x:c>
      <x:c r="C79" s="8" t="str">
        <x:v>C0</x:v>
      </x:c>
      <x:c r="D79" s="8" t="str"/>
      <x:c r="E79" s="8" t="str">
        <x:v>2</x:v>
      </x:c>
      <x:c r="F79" s="8" t="str">
        <x:v>A4:C0 [П02]; XD2:04b</x:v>
      </x:c>
    </x:row>
    <x:row r="80" ht="31" hidden="0" customHeight="1">
      <x:c r="A80" s="8" t="str">
        <x:v>A4</x:v>
      </x:c>
      <x:c r="B80" s="8" t="str">
        <x:v>П02</x:v>
      </x:c>
      <x:c r="C80" s="8" t="str">
        <x:v>C0</x:v>
      </x:c>
      <x:c r="D80" s="8" t="str"/>
      <x:c r="E80" s="8" t="str">
        <x:v>2</x:v>
      </x:c>
      <x:c r="F80" s="8" t="str">
        <x:v>A4:C0 [П01]; A4:S/S [Л01]</x:v>
      </x:c>
    </x:row>
    <x:row r="81" ht="31" hidden="0" customHeight="1">
      <x:c r="A81" s="8" t="str">
        <x:v>A4</x:v>
      </x:c>
      <x:c r="B81" s="8" t="str">
        <x:v>П03</x:v>
      </x:c>
      <x:c r="C81" s="8" t="str">
        <x:v>0</x:v>
      </x:c>
      <x:c r="D81" s="8" t="str">
        <x:v>Y1.0</x:v>
      </x:c>
      <x:c r="E81" s="8" t="str">
        <x:v>62</x:v>
      </x:c>
      <x:c r="F81" s="8" t="str">
        <x:v>K13:A2</x:v>
      </x:c>
    </x:row>
    <x:row r="82" ht="31" hidden="0" customHeight="1">
      <x:c r="A82" s="8" t="str">
        <x:v>A4</x:v>
      </x:c>
      <x:c r="B82" s="8" t="str">
        <x:v>П04</x:v>
      </x:c>
      <x:c r="C82" s="8" t="str">
        <x:v>1</x:v>
      </x:c>
      <x:c r="D82" s="8" t="str">
        <x:v>Y1.1</x:v>
      </x:c>
      <x:c r="E82" s="8" t="str">
        <x:v>63</x:v>
      </x:c>
      <x:c r="F82" s="8" t="str">
        <x:v>K14:A2</x:v>
      </x:c>
    </x:row>
    <x:row r="83" ht="31" hidden="0" customHeight="1">
      <x:c r="A83" s="8" t="str">
        <x:v>A4</x:v>
      </x:c>
      <x:c r="B83" s="8" t="str">
        <x:v>П05</x:v>
      </x:c>
      <x:c r="C83" s="8" t="str">
        <x:v>2</x:v>
      </x:c>
      <x:c r="D83" s="8" t="str">
        <x:v>Y1.2</x:v>
      </x:c>
      <x:c r="E83" s="8" t="str">
        <x:v>65</x:v>
      </x:c>
      <x:c r="F83" s="8" t="str">
        <x:v>K16:A2</x:v>
      </x:c>
    </x:row>
    <x:row r="84" ht="31" hidden="0" customHeight="1">
      <x:c r="A84" s="8" t="str">
        <x:v>A4</x:v>
      </x:c>
      <x:c r="B84" s="8" t="str">
        <x:v>П06</x:v>
      </x:c>
      <x:c r="C84" s="8" t="str">
        <x:v>3</x:v>
      </x:c>
      <x:c r="D84" s="8" t="str">
        <x:v>Y1.3</x:v>
      </x:c>
      <x:c r="E84" s="8" t="str">
        <x:v>NC</x:v>
      </x:c>
      <x:c r="F84" s="8" t="str">
        <x:v>Свободно</x:v>
      </x:c>
    </x:row>
    <x:row r="85" ht="31" hidden="0" customHeight="1">
      <x:c r="A85" s="8" t="str">
        <x:v>A4</x:v>
      </x:c>
      <x:c r="B85" s="8" t="str">
        <x:v>П07</x:v>
      </x:c>
      <x:c r="C85" s="8" t="str">
        <x:v>4</x:v>
      </x:c>
      <x:c r="D85" s="8" t="str">
        <x:v>Y1.4</x:v>
      </x:c>
      <x:c r="E85" s="8" t="str">
        <x:v>NC</x:v>
      </x:c>
      <x:c r="F85" s="8" t="str">
        <x:v>Свободно</x:v>
      </x:c>
    </x:row>
    <x:row r="86" ht="31" hidden="0" customHeight="1">
      <x:c r="A86" s="8" t="str">
        <x:v>A4</x:v>
      </x:c>
      <x:c r="B86" s="8" t="str">
        <x:v>П08</x:v>
      </x:c>
      <x:c r="C86" s="8" t="str">
        <x:v>5</x:v>
      </x:c>
      <x:c r="D86" s="8" t="str">
        <x:v>Y1.5</x:v>
      </x:c>
      <x:c r="E86" s="8" t="str">
        <x:v>NC</x:v>
      </x:c>
      <x:c r="F86" s="8" t="str">
        <x:v>Свободно</x:v>
      </x:c>
    </x:row>
    <x:row r="87" ht="31" hidden="0" customHeight="1">
      <x:c r="A87" s="8" t="str">
        <x:v>A4</x:v>
      </x:c>
      <x:c r="B87" s="8" t="str">
        <x:v>П09</x:v>
      </x:c>
      <x:c r="C87" s="8" t="str">
        <x:v>6</x:v>
      </x:c>
      <x:c r="D87" s="8" t="str">
        <x:v>Y1.6</x:v>
      </x:c>
      <x:c r="E87" s="8" t="str">
        <x:v>NC</x:v>
      </x:c>
      <x:c r="F87" s="8" t="str">
        <x:v>Свободно</x:v>
      </x:c>
    </x:row>
    <x:row r="88" ht="31" hidden="0" customHeight="1">
      <x:c r="A88" s="8" t="str">
        <x:v>A4</x:v>
      </x:c>
      <x:c r="B88" s="8" t="str">
        <x:v>П10</x:v>
      </x:c>
      <x:c r="C88" s="8" t="str">
        <x:v>7</x:v>
      </x:c>
      <x:c r="D88" s="8" t="str">
        <x:v>Y1.7</x:v>
      </x:c>
      <x:c r="E88" s="8" t="str">
        <x:v>NC</x:v>
      </x:c>
      <x:c r="F88" s="8" t="str">
        <x:v>Свободно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50" hidden="0" customWidth="1"/>
  </x:cols>
  <x:sheetData>
    <x:row r="1" ht="28" customHeight="1">
      <x:c r="A1" s="5" t="str">
        <x:v>X2002 — принятые монтажные решения. Р29</x:v>
      </x:c>
      <x:c r="B1" s="5"/>
    </x:row>
    <x:row r="2" ht="44" customHeight="1">
      <x:c r="A2" s="4" t="str">
        <x:v>Электрические схемы Р27; монтажный лист 1 Р29; спецификация от 12.10.2026.</x:v>
      </x:c>
      <x:c r="B2" s="4"/>
    </x:row>
    <x:row r="3">
      <x:c r="A3" s="4"/>
      <x:c r="B3" s="4"/>
    </x:row>
    <x:row r="4" ht="31" hidden="0" customHeight="1">
      <x:c r="A4" s="7" t="str">
        <x:v>№</x:v>
      </x:c>
      <x:c r="B4" s="7" t="str">
        <x:v>Указание</x:v>
      </x:c>
    </x:row>
    <x:row r="5" ht="31" hidden="0" customHeight="1">
      <x:c r="A5" s="8" t="n">
        <x:v>1</x:v>
      </x:c>
      <x:c r="B5" s="8" t="str">
        <x:v>Комплект относится к одной паре ШС1 + ШО1; ШС2 + ШО2 выполнить аналогично и независимо.</x:v>
      </x:c>
    </x:row>
    <x:row r="6" ht="31" hidden="0" customHeight="1">
      <x:c r="A6" s="8" t="n">
        <x:v>2</x:v>
      </x:c>
      <x:c r="B6" s="8" t="str">
        <x:v>Номер цепи повторяется на электрически общей цепи. № строки в таблице соединений — только идентификатор строки, не маркировка провода.</x:v>
      </x:c>
    </x:row>
    <x:row r="7" ht="31" hidden="0" customHeight="1">
      <x:c r="A7" s="8" t="n">
        <x:v>3</x:v>
      </x:c>
      <x:c r="B7" s="8" t="str">
        <x:v>24 AWG применяется на выводах A3. ¹ Белая жила: идентификация цепи и функции на обоих концах; FE не использовать как сигнальный общий.</x:v>
      </x:c>
    </x:row>
    <x:row r="8" ht="31" hidden="0" customHeight="1">
      <x:c r="A8" s="8" t="n">
        <x:v>4</x:v>
      </x:c>
      <x:c r="B8" s="8" t="str">
        <x:v>Основные внутренние проводники: 6; 2,5; 0,75 мм². Фазы белые; N синий; +24 В красный; 0 В и коммутируемый минус чёрный; PE жёлто-зелёный.</x:v>
      </x:c>
    </x:row>
    <x:row r="9" ht="31" hidden="0" customHeight="1">
      <x:c r="A9" s="8" t="n">
        <x:v>5</x:v>
      </x:c>
      <x:c r="B9" s="8" t="str">
        <x:v>WA1 и W7a — экранированные пары из имеющихся материалов. WA1 должен подходить к зажимам A3: жилы 24 AWG; W7a — по диапазону зажимов ПЛК и АС5.</x:v>
      </x:c>
    </x:row>
    <x:row r="10" ht="31" hidden="0" customHeight="1">
      <x:c r="A10" s="8" t="n">
        <x:v>6</x:v>
      </x:c>
      <x:c r="B10" s="8" t="str">
        <x:v>Таблица не задаёт обязательный способ оконцевания. Длины отрезков определять после установки аппаратов и трассировки.</x:v>
      </x:c>
    </x:row>
    <x:row r="11" ht="31" hidden="0" customHeight="1">
      <x:c r="A11" s="8" t="n">
        <x:v>7</x:v>
      </x:c>
      <x:c r="B11" s="8" t="str">
        <x:v>Сечение внешнего W1 5G10 и межшкафного W8 12×1,5 сохранено по последней спецификации; замены 16/10/1,5 относятся к внутренним проводам.</x:v>
      </x:c>
    </x:row>
    <x:row r="12" ht="31" hidden="0" customHeight="1">
      <x:c r="A12" s="8" t="n">
        <x:v>8</x:v>
      </x:c>
      <x:c r="B12" s="8" t="str">
        <x:v>KSR1 (G9SE): проводники у зажимов 0,75 мм²; допустимый диапазон по OMRON J198-E1 0,25–1,5 мм². Z1 — параллельно KM1:A1–A2.</x:v>
      </x:c>
    </x:row>
    <x:row r="13" ht="31" hidden="0" customHeight="1">
      <x:c r="A13" s="8" t="n">
        <x:v>9</x:v>
      </x:c>
      <x:c r="B13" s="8" t="str">
        <x:v>Все адреса у зажимов — непосредственный второй конец провода. Для ПЛК заводская маркировка и программный адрес приведены раздельно.</x:v>
      </x:c>
    </x:row>
  </x:sheetData>
  <x:mergeCells>
    <x:mergeCell ref="A1:B1"/>
    <x:mergeCell ref="A2:B2"/>
  </x:mergeCells>
  <x:pageMargins left="0.7" right="0.7" top="0.75" bottom="0.75" header="0.3" footer="0.3"/>
</x:worksheet>
</file>